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y Drive\ZGroup\SharedFolder\"/>
    </mc:Choice>
  </mc:AlternateContent>
  <xr:revisionPtr revIDLastSave="0" documentId="8_{46421B5A-55F1-4DC0-80AE-DE9A15CBAA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6" sheetId="1" r:id="rId1"/>
    <sheet name="BZ" sheetId="2" r:id="rId2"/>
    <sheet name="Ztech" sheetId="3" r:id="rId3"/>
    <sheet name="AiDa" sheetId="4" r:id="rId4"/>
    <sheet name="Gxpress" sheetId="5" r:id="rId5"/>
    <sheet name="Sheet1" sheetId="7" r:id="rId6"/>
    <sheet name="Vehicl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2oWF6Q3WkiFHKlJ0BhXHYzILLFpoW1GzAcsok9i2Qg="/>
    </ext>
  </extLst>
</workbook>
</file>

<file path=xl/calcChain.xml><?xml version="1.0" encoding="utf-8"?>
<calcChain xmlns="http://schemas.openxmlformats.org/spreadsheetml/2006/main">
  <c r="B46" i="3" l="1"/>
  <c r="O60" i="3"/>
  <c r="M29" i="4"/>
  <c r="L29" i="4"/>
  <c r="K29" i="4"/>
  <c r="J29" i="4"/>
  <c r="I29" i="4"/>
  <c r="H29" i="4"/>
  <c r="G29" i="4"/>
  <c r="F29" i="4"/>
  <c r="E29" i="4"/>
  <c r="M27" i="4"/>
  <c r="L27" i="4"/>
  <c r="K27" i="4"/>
  <c r="J27" i="4"/>
  <c r="I27" i="4"/>
  <c r="H27" i="4"/>
  <c r="G27" i="4"/>
  <c r="F27" i="4"/>
  <c r="E27" i="4"/>
  <c r="D27" i="4"/>
  <c r="D29" i="4" s="1"/>
  <c r="C27" i="4"/>
  <c r="C29" i="4" s="1"/>
  <c r="B27" i="4"/>
  <c r="M86" i="1"/>
  <c r="L86" i="1"/>
  <c r="K86" i="1"/>
  <c r="J86" i="1"/>
  <c r="I86" i="1"/>
  <c r="H86" i="1"/>
  <c r="G86" i="1"/>
  <c r="F86" i="1"/>
  <c r="E86" i="1"/>
  <c r="M85" i="1"/>
  <c r="L85" i="1"/>
  <c r="K85" i="1"/>
  <c r="J85" i="1"/>
  <c r="I85" i="1"/>
  <c r="H85" i="1"/>
  <c r="G85" i="1"/>
  <c r="F85" i="1"/>
  <c r="E85" i="1"/>
  <c r="D85" i="1"/>
  <c r="C85" i="1"/>
  <c r="B85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35" i="4" l="1"/>
  <c r="B10" i="8" l="1"/>
  <c r="B14" i="8" s="1"/>
  <c r="D7" i="8"/>
  <c r="B11" i="7"/>
  <c r="G10" i="7"/>
  <c r="F10" i="7"/>
  <c r="L12" i="5"/>
  <c r="K12" i="5"/>
  <c r="J12" i="5"/>
  <c r="I12" i="5"/>
  <c r="H12" i="5"/>
  <c r="G12" i="5"/>
  <c r="F12" i="5"/>
  <c r="E12" i="5"/>
  <c r="D12" i="5"/>
  <c r="C12" i="5"/>
  <c r="B12" i="5"/>
  <c r="L6" i="5"/>
  <c r="L16" i="5" s="1"/>
  <c r="K6" i="5"/>
  <c r="J6" i="5"/>
  <c r="I6" i="5"/>
  <c r="H6" i="5"/>
  <c r="G6" i="5"/>
  <c r="F6" i="5"/>
  <c r="F16" i="5" s="1"/>
  <c r="E6" i="5"/>
  <c r="D6" i="5"/>
  <c r="D16" i="5" s="1"/>
  <c r="C6" i="5"/>
  <c r="B6" i="5"/>
  <c r="O4" i="5"/>
  <c r="O3" i="5"/>
  <c r="M12" i="4"/>
  <c r="L12" i="4"/>
  <c r="K12" i="4"/>
  <c r="J12" i="4"/>
  <c r="I12" i="4"/>
  <c r="H12" i="4"/>
  <c r="G12" i="4"/>
  <c r="F12" i="4"/>
  <c r="E12" i="4"/>
  <c r="D12" i="4"/>
  <c r="C12" i="4"/>
  <c r="B12" i="4"/>
  <c r="M5" i="4"/>
  <c r="L5" i="4"/>
  <c r="K5" i="4"/>
  <c r="J5" i="4"/>
  <c r="I5" i="4"/>
  <c r="H5" i="4"/>
  <c r="G5" i="4"/>
  <c r="F5" i="4"/>
  <c r="E5" i="4"/>
  <c r="D5" i="4"/>
  <c r="C5" i="4"/>
  <c r="B5" i="4"/>
  <c r="O3" i="4"/>
  <c r="M55" i="3"/>
  <c r="L55" i="3"/>
  <c r="K55" i="3"/>
  <c r="J55" i="3"/>
  <c r="I55" i="3"/>
  <c r="H55" i="3"/>
  <c r="G55" i="3"/>
  <c r="F55" i="3"/>
  <c r="E55" i="3"/>
  <c r="D55" i="3"/>
  <c r="C55" i="3"/>
  <c r="B55" i="3"/>
  <c r="O50" i="3"/>
  <c r="M44" i="3"/>
  <c r="L44" i="3"/>
  <c r="K44" i="3"/>
  <c r="J44" i="3"/>
  <c r="I44" i="3"/>
  <c r="H44" i="3"/>
  <c r="G44" i="3"/>
  <c r="F44" i="3"/>
  <c r="E44" i="3"/>
  <c r="D44" i="3"/>
  <c r="C44" i="3"/>
  <c r="C46" i="3" s="1"/>
  <c r="B44" i="3"/>
  <c r="M22" i="3"/>
  <c r="L22" i="3"/>
  <c r="K22" i="3"/>
  <c r="J22" i="3"/>
  <c r="I22" i="3"/>
  <c r="H22" i="3"/>
  <c r="G22" i="3"/>
  <c r="F22" i="3"/>
  <c r="E22" i="3"/>
  <c r="D22" i="3"/>
  <c r="C22" i="3"/>
  <c r="B22" i="3"/>
  <c r="M5" i="3"/>
  <c r="L5" i="3"/>
  <c r="K5" i="3"/>
  <c r="J5" i="3"/>
  <c r="I5" i="3"/>
  <c r="H5" i="3"/>
  <c r="G5" i="3"/>
  <c r="F5" i="3"/>
  <c r="E5" i="3"/>
  <c r="D5" i="3"/>
  <c r="C5" i="3"/>
  <c r="B5" i="3"/>
  <c r="O3" i="3"/>
  <c r="O54" i="2"/>
  <c r="M50" i="2"/>
  <c r="L50" i="2"/>
  <c r="K50" i="2"/>
  <c r="J50" i="2"/>
  <c r="I50" i="2"/>
  <c r="H50" i="2"/>
  <c r="G50" i="2"/>
  <c r="F50" i="2"/>
  <c r="E50" i="2"/>
  <c r="D50" i="2"/>
  <c r="C50" i="2"/>
  <c r="B50" i="2"/>
  <c r="O46" i="2"/>
  <c r="O44" i="2"/>
  <c r="L40" i="2"/>
  <c r="L52" i="2" s="1"/>
  <c r="M38" i="2"/>
  <c r="L38" i="2"/>
  <c r="K38" i="2"/>
  <c r="J38" i="2"/>
  <c r="I38" i="2"/>
  <c r="H38" i="2"/>
  <c r="G38" i="2"/>
  <c r="F38" i="2"/>
  <c r="E38" i="2"/>
  <c r="D38" i="2"/>
  <c r="C38" i="2"/>
  <c r="B38" i="2"/>
  <c r="O36" i="2"/>
  <c r="O35" i="2"/>
  <c r="O34" i="2"/>
  <c r="O33" i="2"/>
  <c r="O32" i="2"/>
  <c r="O31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L12" i="2"/>
  <c r="M10" i="2"/>
  <c r="L10" i="2"/>
  <c r="K10" i="2"/>
  <c r="J10" i="2"/>
  <c r="I10" i="2"/>
  <c r="H10" i="2"/>
  <c r="G10" i="2"/>
  <c r="F10" i="2"/>
  <c r="E10" i="2"/>
  <c r="D10" i="2"/>
  <c r="D12" i="2" s="1"/>
  <c r="C10" i="2"/>
  <c r="B10" i="2"/>
  <c r="O8" i="2"/>
  <c r="M5" i="2"/>
  <c r="M12" i="2" s="1"/>
  <c r="M40" i="2" s="1"/>
  <c r="M52" i="2" s="1"/>
  <c r="L5" i="2"/>
  <c r="K5" i="2"/>
  <c r="J5" i="2"/>
  <c r="I5" i="2"/>
  <c r="H5" i="2"/>
  <c r="G5" i="2"/>
  <c r="F5" i="2"/>
  <c r="F12" i="2" s="1"/>
  <c r="E5" i="2"/>
  <c r="E12" i="2" s="1"/>
  <c r="D5" i="2"/>
  <c r="C5" i="2"/>
  <c r="B5" i="2"/>
  <c r="O3" i="2"/>
  <c r="O90" i="1"/>
  <c r="O89" i="1"/>
  <c r="M83" i="1"/>
  <c r="L83" i="1"/>
  <c r="K83" i="1"/>
  <c r="J83" i="1"/>
  <c r="I83" i="1"/>
  <c r="H83" i="1"/>
  <c r="G83" i="1"/>
  <c r="F83" i="1"/>
  <c r="E83" i="1"/>
  <c r="D83" i="1"/>
  <c r="C83" i="1"/>
  <c r="B83" i="1"/>
  <c r="O77" i="1"/>
  <c r="O73" i="1"/>
  <c r="O39" i="1"/>
  <c r="M37" i="1"/>
  <c r="M67" i="1" s="1"/>
  <c r="L37" i="1"/>
  <c r="L67" i="1" s="1"/>
  <c r="K37" i="1"/>
  <c r="K67" i="1" s="1"/>
  <c r="J37" i="1"/>
  <c r="J67" i="1" s="1"/>
  <c r="I37" i="1"/>
  <c r="I67" i="1" s="1"/>
  <c r="H37" i="1"/>
  <c r="H67" i="1" s="1"/>
  <c r="G37" i="1"/>
  <c r="G67" i="1" s="1"/>
  <c r="F37" i="1"/>
  <c r="F67" i="1" s="1"/>
  <c r="E37" i="1"/>
  <c r="E67" i="1" s="1"/>
  <c r="D37" i="1"/>
  <c r="D67" i="1" s="1"/>
  <c r="C37" i="1"/>
  <c r="C67" i="1" s="1"/>
  <c r="B37" i="1"/>
  <c r="B67" i="1" s="1"/>
  <c r="O19" i="1"/>
  <c r="O14" i="1"/>
  <c r="O13" i="1"/>
  <c r="O12" i="1"/>
  <c r="M9" i="1"/>
  <c r="M16" i="1" s="1"/>
  <c r="M69" i="1" s="1"/>
  <c r="L9" i="1"/>
  <c r="L16" i="1" s="1"/>
  <c r="L69" i="1" s="1"/>
  <c r="K9" i="1"/>
  <c r="K16" i="1" s="1"/>
  <c r="K69" i="1" s="1"/>
  <c r="J9" i="1"/>
  <c r="J16" i="1" s="1"/>
  <c r="J69" i="1" s="1"/>
  <c r="I9" i="1"/>
  <c r="I16" i="1" s="1"/>
  <c r="I69" i="1" s="1"/>
  <c r="H9" i="1"/>
  <c r="H16" i="1" s="1"/>
  <c r="H69" i="1" s="1"/>
  <c r="G9" i="1"/>
  <c r="G16" i="1" s="1"/>
  <c r="G69" i="1" s="1"/>
  <c r="F9" i="1"/>
  <c r="E9" i="1"/>
  <c r="E16" i="1" s="1"/>
  <c r="E69" i="1" s="1"/>
  <c r="D9" i="1"/>
  <c r="D16" i="1" s="1"/>
  <c r="C9" i="1"/>
  <c r="C16" i="1" s="1"/>
  <c r="B9" i="1"/>
  <c r="B16" i="1" s="1"/>
  <c r="O7" i="1"/>
  <c r="O6" i="1"/>
  <c r="O5" i="1"/>
  <c r="O4" i="1"/>
  <c r="O3" i="1"/>
  <c r="E16" i="5" l="1"/>
  <c r="D69" i="1"/>
  <c r="D86" i="1" s="1"/>
  <c r="D14" i="4"/>
  <c r="C69" i="1"/>
  <c r="C86" i="1" s="1"/>
  <c r="B69" i="1"/>
  <c r="B86" i="1" s="1"/>
  <c r="C12" i="2"/>
  <c r="C40" i="2" s="1"/>
  <c r="C52" i="2" s="1"/>
  <c r="O67" i="1"/>
  <c r="C16" i="5"/>
  <c r="H16" i="5"/>
  <c r="B16" i="5"/>
  <c r="B14" i="4"/>
  <c r="H24" i="3"/>
  <c r="H46" i="3" s="1"/>
  <c r="H56" i="3" s="1"/>
  <c r="I24" i="3"/>
  <c r="I46" i="3" s="1"/>
  <c r="I56" i="3" s="1"/>
  <c r="E24" i="3"/>
  <c r="E46" i="3" s="1"/>
  <c r="E56" i="3" s="1"/>
  <c r="H12" i="2"/>
  <c r="H40" i="2" s="1"/>
  <c r="H52" i="2" s="1"/>
  <c r="B12" i="2"/>
  <c r="B40" i="2" s="1"/>
  <c r="B52" i="2" s="1"/>
  <c r="D40" i="2"/>
  <c r="M24" i="3"/>
  <c r="M46" i="3" s="1"/>
  <c r="M56" i="3" s="1"/>
  <c r="K12" i="2"/>
  <c r="K40" i="2" s="1"/>
  <c r="K52" i="2" s="1"/>
  <c r="K16" i="5"/>
  <c r="J12" i="2"/>
  <c r="J40" i="2" s="1"/>
  <c r="J52" i="2" s="1"/>
  <c r="J14" i="4"/>
  <c r="F24" i="3"/>
  <c r="F46" i="3" s="1"/>
  <c r="F56" i="3" s="1"/>
  <c r="I12" i="2"/>
  <c r="I40" i="2" s="1"/>
  <c r="I52" i="2" s="1"/>
  <c r="J16" i="5"/>
  <c r="J24" i="3"/>
  <c r="J46" i="3" s="1"/>
  <c r="J56" i="3" s="1"/>
  <c r="K24" i="3"/>
  <c r="K46" i="3" s="1"/>
  <c r="K56" i="3" s="1"/>
  <c r="D24" i="3"/>
  <c r="D46" i="3" s="1"/>
  <c r="D56" i="3" s="1"/>
  <c r="L24" i="3"/>
  <c r="L46" i="3" s="1"/>
  <c r="L56" i="3" s="1"/>
  <c r="C24" i="3"/>
  <c r="C56" i="3" s="1"/>
  <c r="O5" i="3"/>
  <c r="C14" i="4"/>
  <c r="K14" i="4"/>
  <c r="L14" i="4"/>
  <c r="E14" i="4"/>
  <c r="M14" i="4"/>
  <c r="I14" i="4"/>
  <c r="G14" i="4"/>
  <c r="I16" i="5"/>
  <c r="H14" i="4"/>
  <c r="O12" i="4"/>
  <c r="O5" i="4"/>
  <c r="O22" i="3"/>
  <c r="G24" i="3"/>
  <c r="G46" i="3" s="1"/>
  <c r="G56" i="3" s="1"/>
  <c r="O44" i="3"/>
  <c r="O10" i="2"/>
  <c r="G12" i="2"/>
  <c r="G40" i="2" s="1"/>
  <c r="G52" i="2" s="1"/>
  <c r="O5" i="2"/>
  <c r="F40" i="2"/>
  <c r="F52" i="2" s="1"/>
  <c r="O38" i="2"/>
  <c r="E40" i="2"/>
  <c r="E52" i="2" s="1"/>
  <c r="G16" i="5"/>
  <c r="O12" i="5"/>
  <c r="O9" i="1"/>
  <c r="O37" i="1"/>
  <c r="F16" i="1"/>
  <c r="B24" i="3"/>
  <c r="F14" i="4"/>
  <c r="O6" i="5"/>
  <c r="B29" i="4" l="1"/>
  <c r="O27" i="4"/>
  <c r="F69" i="1"/>
  <c r="O69" i="1" s="1"/>
  <c r="O12" i="2"/>
  <c r="O16" i="5"/>
  <c r="O40" i="2"/>
  <c r="O52" i="2"/>
  <c r="O24" i="3"/>
  <c r="O16" i="1"/>
  <c r="O14" i="4"/>
  <c r="O29" i="4" l="1"/>
  <c r="O86" i="1"/>
  <c r="O46" i="3"/>
  <c r="B56" i="3"/>
  <c r="O5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Ronel</author>
  </authors>
  <commentList>
    <comment ref="D7" authorId="0" shapeId="0" xr:uid="{7659E6D2-86CD-4230-B4B5-B950F484AE50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WFD - BZ Sales</t>
        </r>
      </text>
    </comment>
    <comment ref="F13" authorId="0" shapeId="0" xr:uid="{D3D84924-1A8A-4B23-A994-4393A2311018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233182,76 Jeep betaling</t>
        </r>
      </text>
    </comment>
    <comment ref="D33" authorId="0" shapeId="0" xr:uid="{0C18D907-12FB-4E54-A244-5277A668A424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WFD - BZ sales </t>
        </r>
      </text>
    </comment>
    <comment ref="B89" authorId="0" shapeId="0" xr:uid="{82DBEA97-AAE7-49D3-A519-6899D4547ADC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Gys PC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Ronel</author>
  </authors>
  <commentList>
    <comment ref="D8" authorId="0" shapeId="0" xr:uid="{C4181959-77F2-41C0-AE4C-400897FEFFF3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5405 + 23805 in feb costs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Ronel</author>
  </authors>
  <commentList>
    <comment ref="B60" authorId="0" shapeId="0" xr:uid="{32AAE74A-91D7-4534-AD1D-7D13A35D20A5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Gys PC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Ronel</author>
  </authors>
  <commentList>
    <comment ref="H3" authorId="0" shapeId="0" xr:uid="{30CBD919-5C83-474C-A698-3B8DCD6EA71A}">
      <text>
        <r>
          <rPr>
            <b/>
            <sz val="9"/>
            <color indexed="81"/>
            <rFont val="Tahoma"/>
            <family val="2"/>
          </rPr>
          <t>Ronel:</t>
        </r>
        <r>
          <rPr>
            <sz val="9"/>
            <color indexed="81"/>
            <rFont val="Tahoma"/>
            <family val="2"/>
          </rPr>
          <t xml:space="preserve">
Credit vir Chalmar deducted</t>
        </r>
      </text>
    </comment>
  </commentList>
</comments>
</file>

<file path=xl/sharedStrings.xml><?xml version="1.0" encoding="utf-8"?>
<sst xmlns="http://schemas.openxmlformats.org/spreadsheetml/2006/main" count="308" uniqueCount="150">
  <si>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</si>
  <si>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</si>
  <si>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</si>
  <si>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</si>
  <si>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</si>
  <si>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</si>
  <si>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</si>
  <si>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</si>
  <si>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</si>
  <si>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</si>
  <si>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</si>
  <si>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</si>
  <si>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</si>
  <si>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Sales  - Ztech</t>
  </si>
  <si>
    <t>Sales - AiDa</t>
  </si>
  <si>
    <t>Sales - Branding Zone</t>
  </si>
  <si>
    <t>Sales - Gxpress</t>
  </si>
  <si>
    <t>Sales - Gxpress (NO VAT)</t>
  </si>
  <si>
    <t>TOTAL SALES</t>
  </si>
  <si>
    <t>Other Income</t>
  </si>
  <si>
    <t>Interest Received (NO VAT)</t>
  </si>
  <si>
    <t>Insurance Claim (NO VAT)</t>
  </si>
  <si>
    <t>TOTAL INCOME</t>
  </si>
  <si>
    <t>SUPPLIERS (Cost of Sales)</t>
  </si>
  <si>
    <t>afrihost</t>
  </si>
  <si>
    <t>eset</t>
  </si>
  <si>
    <t>Telkom - Gijima</t>
  </si>
  <si>
    <t>Jebo</t>
  </si>
  <si>
    <t>Domains</t>
  </si>
  <si>
    <t>sync my mail</t>
  </si>
  <si>
    <t>axxess</t>
  </si>
  <si>
    <t>microsoft</t>
  </si>
  <si>
    <t>vox</t>
  </si>
  <si>
    <t>Ztech Suppliers</t>
  </si>
  <si>
    <t xml:space="preserve">AiDa </t>
  </si>
  <si>
    <t>gxpress suppliers (NO VAT)</t>
  </si>
  <si>
    <t xml:space="preserve">gxpress suppliers </t>
  </si>
  <si>
    <t>branding zone suppliers</t>
  </si>
  <si>
    <t>TOTAL COST OF SALES</t>
  </si>
  <si>
    <t>rent</t>
  </si>
  <si>
    <t>Water</t>
  </si>
  <si>
    <t>Electricity</t>
  </si>
  <si>
    <t>Deposit paid</t>
  </si>
  <si>
    <t>interest (NO VAT)</t>
  </si>
  <si>
    <t>insurance (NO VAT)</t>
  </si>
  <si>
    <t>Security Fees</t>
  </si>
  <si>
    <t>vehicle installments</t>
  </si>
  <si>
    <t>telephone office (vox) **</t>
  </si>
  <si>
    <t>banking fees</t>
  </si>
  <si>
    <t>Internet &amp; hosting</t>
  </si>
  <si>
    <t>cell phone &amp; data  (Ronel,Johan, Gys, Staff)</t>
  </si>
  <si>
    <t>salaries (NO VAT)</t>
  </si>
  <si>
    <t>paye  (NO VAT)</t>
  </si>
  <si>
    <t>uif (NO VAT)</t>
  </si>
  <si>
    <t>wages (NO VAT)</t>
  </si>
  <si>
    <t>FUEL</t>
  </si>
  <si>
    <t>OTHER</t>
  </si>
  <si>
    <t>HR Services (NO VAT)</t>
  </si>
  <si>
    <t>Accounting Fees</t>
  </si>
  <si>
    <t>advertising &amp; marketing</t>
  </si>
  <si>
    <t>Office Consumables, Supplies &amp; Maintenance</t>
  </si>
  <si>
    <t>staff &amp; client entertainment</t>
  </si>
  <si>
    <t xml:space="preserve">vehicle maintenance </t>
  </si>
  <si>
    <t>TOTAL EXPENSES</t>
  </si>
  <si>
    <t>Total Profit / Loss</t>
  </si>
  <si>
    <t>LOANS</t>
  </si>
  <si>
    <t>Revolving Loan</t>
  </si>
  <si>
    <t>Wayne Strydom - Loan Amount *</t>
  </si>
  <si>
    <t>SARS</t>
  </si>
  <si>
    <t>Zgroup VAT</t>
  </si>
  <si>
    <t>owner drawings</t>
  </si>
  <si>
    <t>Gysbert (NO VAT)</t>
  </si>
  <si>
    <t>Ronel (NO VAT)</t>
  </si>
  <si>
    <t>Total Nett Profit/Loss after Owners Drawings</t>
  </si>
  <si>
    <t>ASSETS BOUGHT</t>
  </si>
  <si>
    <t>office equipment</t>
  </si>
  <si>
    <t>office furniture</t>
  </si>
  <si>
    <t>NOTES</t>
  </si>
  <si>
    <t>Suppliers</t>
  </si>
  <si>
    <t>PROFIT/LOSS BEFORE EXPENSES</t>
  </si>
  <si>
    <t>EXPENSES</t>
  </si>
  <si>
    <t>Rent</t>
  </si>
  <si>
    <t>full</t>
  </si>
  <si>
    <t>Interest</t>
  </si>
  <si>
    <t>half</t>
  </si>
  <si>
    <t xml:space="preserve">Insurance </t>
  </si>
  <si>
    <t>Vehicle Installments</t>
  </si>
  <si>
    <t xml:space="preserve">Telephone </t>
  </si>
  <si>
    <t>Banking Fees</t>
  </si>
  <si>
    <t>Cellphone &amp; Data</t>
  </si>
  <si>
    <t>Salaries</t>
  </si>
  <si>
    <t>Wages</t>
  </si>
  <si>
    <t xml:space="preserve">Fuel </t>
  </si>
  <si>
    <t>Advertising &amp; Marketing</t>
  </si>
  <si>
    <t>Staff &amp; Client Entertainment</t>
  </si>
  <si>
    <t xml:space="preserve">Vehicle Maintenance </t>
  </si>
  <si>
    <t>Total Nett after Loan &amp; Owners Drawings</t>
  </si>
  <si>
    <t xml:space="preserve">COMPUTER EQUIPMENT </t>
  </si>
  <si>
    <t>OFFICE EQUIPMENT</t>
  </si>
  <si>
    <t>Yebo</t>
  </si>
  <si>
    <t>PROFIT / LOSS BEFORE EXPENSES</t>
  </si>
  <si>
    <t>HR Fees</t>
  </si>
  <si>
    <t>Vehicle Maintenance</t>
  </si>
  <si>
    <t xml:space="preserve">Sales </t>
  </si>
  <si>
    <t xml:space="preserve">Google </t>
  </si>
  <si>
    <t xml:space="preserve">Facebook </t>
  </si>
  <si>
    <t xml:space="preserve">Salaries </t>
  </si>
  <si>
    <t>Commission Paid</t>
  </si>
  <si>
    <t>suppliers</t>
  </si>
  <si>
    <t>BZ</t>
  </si>
  <si>
    <t>IT</t>
  </si>
  <si>
    <t>Jeep Rita</t>
  </si>
  <si>
    <t>Jeep</t>
  </si>
  <si>
    <t>BMW</t>
  </si>
  <si>
    <t>Toyota</t>
  </si>
  <si>
    <t>Bakkie</t>
  </si>
  <si>
    <t>Opel</t>
  </si>
  <si>
    <t>Honda</t>
  </si>
  <si>
    <t xml:space="preserve">april </t>
  </si>
  <si>
    <t>NP200</t>
  </si>
  <si>
    <t>Afrihost</t>
  </si>
  <si>
    <t>Ronel</t>
  </si>
  <si>
    <t>hosting</t>
  </si>
  <si>
    <t>Vox</t>
  </si>
  <si>
    <t>Gys</t>
  </si>
  <si>
    <t>kantoor</t>
  </si>
  <si>
    <t>Axxess</t>
  </si>
  <si>
    <t>Gift</t>
  </si>
  <si>
    <t xml:space="preserve">Kuda </t>
  </si>
  <si>
    <t>Revolving</t>
  </si>
  <si>
    <t>interest</t>
  </si>
  <si>
    <t>insurance</t>
  </si>
  <si>
    <t xml:space="preserve">Repayments </t>
  </si>
  <si>
    <t>FNB Cheque Card &amp; Cash</t>
  </si>
  <si>
    <t>Office Consumables</t>
  </si>
  <si>
    <t>Gysbert Loan repayment</t>
  </si>
  <si>
    <t>Internet</t>
  </si>
  <si>
    <t xml:space="preserve">Gysbert Loan repayment </t>
  </si>
  <si>
    <t>office consumables</t>
  </si>
  <si>
    <t>Westcon</t>
  </si>
  <si>
    <t>JAC Ont</t>
  </si>
  <si>
    <t>PROFIT / LOSS 2026</t>
  </si>
  <si>
    <t>Z-TECH COMPUTERS PROFIT / LOSS 2026</t>
  </si>
  <si>
    <t>BRANDING ZONE PROFIT / LOSS 2026</t>
  </si>
  <si>
    <t>AiDa Marketing Figures 2026</t>
  </si>
  <si>
    <t>GXPRESS PROFIT / LOSS 2026</t>
  </si>
  <si>
    <t>Vodacom</t>
  </si>
  <si>
    <t>Nable</t>
  </si>
  <si>
    <t xml:space="preserve">Water 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</si>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</sst>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rgb="FFE69138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1"/>
      <color rgb="FF92D050"/>
      <name val="Calibri"/>
      <family val="2"/>
    </font>
    <font>
      <sz val="11"/>
      <color rgb="FFFFC000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4" fillId="0" borderId="0" xfId="0" applyFont="1"/>
    <xf numFmtId="2" fontId="2" fillId="0" borderId="1" xfId="0" applyNumberFormat="1" applyFont="1" applyBorder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" fontId="2" fillId="0" borderId="0" xfId="0" applyNumberFormat="1" applyFont="1"/>
    <xf numFmtId="2" fontId="5" fillId="0" borderId="0" xfId="0" applyNumberFormat="1" applyFont="1" applyAlignment="1">
      <alignment horizontal="left"/>
    </xf>
    <xf numFmtId="2" fontId="6" fillId="0" borderId="0" xfId="0" applyNumberFormat="1" applyFont="1"/>
    <xf numFmtId="0" fontId="7" fillId="0" borderId="0" xfId="0" applyFont="1"/>
    <xf numFmtId="0" fontId="8" fillId="0" borderId="0" xfId="0" applyFont="1"/>
    <xf numFmtId="16" fontId="2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right"/>
    </xf>
    <xf numFmtId="2" fontId="4" fillId="0" borderId="0" xfId="0" applyNumberFormat="1" applyFont="1"/>
    <xf numFmtId="2" fontId="9" fillId="0" borderId="0" xfId="0" applyNumberFormat="1" applyFont="1"/>
    <xf numFmtId="2" fontId="10" fillId="0" borderId="0" xfId="0" applyNumberFormat="1" applyFont="1"/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2"/>
  <sheetViews>
    <sheetView topLeftCell="A22" workbookViewId="0">
      <selection activeCell="H25" sqref="H25"/>
    </sheetView>
  </sheetViews>
  <sheetFormatPr defaultColWidth="14.44140625" defaultRowHeight="15" customHeight="1" x14ac:dyDescent="0.3"/>
  <cols>
    <col min="1" max="1" width="42.33203125" customWidth="1"/>
    <col min="2" max="2" width="11.44140625" customWidth="1"/>
    <col min="3" max="4" width="10.33203125" customWidth="1"/>
    <col min="5" max="5" width="10.5546875" customWidth="1"/>
    <col min="6" max="6" width="10.33203125" customWidth="1"/>
    <col min="7" max="7" width="11" customWidth="1"/>
    <col min="8" max="8" width="10.33203125" customWidth="1"/>
    <col min="9" max="9" width="10.44140625" customWidth="1"/>
    <col min="10" max="10" width="11.33203125" customWidth="1"/>
    <col min="11" max="11" width="10.33203125" customWidth="1"/>
    <col min="12" max="12" width="11.33203125" customWidth="1"/>
    <col min="13" max="14" width="10.44140625" customWidth="1"/>
    <col min="15" max="15" width="11.33203125" customWidth="1"/>
  </cols>
  <sheetData>
    <row r="1" spans="1:15" ht="14.4" x14ac:dyDescent="0.3">
      <c r="A1" s="28" t="s">
        <v>141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1"/>
      <c r="O1" s="1" t="s">
        <v>0</v>
      </c>
    </row>
    <row r="2" spans="1:15" ht="14.4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</row>
    <row r="3" spans="1:15" ht="14.4" x14ac:dyDescent="0.3">
      <c r="A3" s="2" t="s">
        <v>13</v>
      </c>
      <c r="B3" s="3">
        <v>700620.91</v>
      </c>
      <c r="C3" s="4">
        <v>510832.04</v>
      </c>
      <c r="D3" s="4"/>
      <c r="E3" s="4"/>
      <c r="F3" s="4"/>
      <c r="G3" s="4"/>
      <c r="H3" s="4"/>
      <c r="I3" s="4"/>
      <c r="J3" s="3"/>
      <c r="K3" s="4"/>
      <c r="L3" s="4"/>
      <c r="M3" s="4"/>
      <c r="O3" s="5">
        <f t="shared" ref="O3:O7" si="0">SUM(B3:M3)</f>
        <v>1211452.95</v>
      </c>
    </row>
    <row r="4" spans="1:15" ht="14.4" x14ac:dyDescent="0.3">
      <c r="A4" s="2" t="s">
        <v>14</v>
      </c>
      <c r="B4" s="4">
        <v>39522.050000000003</v>
      </c>
      <c r="C4" s="4">
        <v>36647.050000000003</v>
      </c>
      <c r="D4" s="4"/>
      <c r="E4" s="4"/>
      <c r="F4" s="4"/>
      <c r="G4" s="4"/>
      <c r="H4" s="4"/>
      <c r="I4" s="4"/>
      <c r="J4" s="4"/>
      <c r="K4" s="4"/>
      <c r="L4" s="4"/>
      <c r="M4" s="4"/>
      <c r="O4" s="5">
        <f t="shared" si="0"/>
        <v>76169.100000000006</v>
      </c>
    </row>
    <row r="5" spans="1:15" ht="14.4" x14ac:dyDescent="0.3">
      <c r="A5" s="2" t="s">
        <v>15</v>
      </c>
      <c r="B5" s="4">
        <v>384928.7</v>
      </c>
      <c r="C5" s="4">
        <v>323317.09999999998</v>
      </c>
      <c r="D5" s="4"/>
      <c r="E5" s="4"/>
      <c r="F5" s="3"/>
      <c r="G5" s="3"/>
      <c r="H5" s="5"/>
      <c r="I5" s="4"/>
      <c r="J5" s="4"/>
      <c r="K5" s="4"/>
      <c r="L5" s="4"/>
      <c r="M5" s="4"/>
      <c r="O5" s="5">
        <f t="shared" si="0"/>
        <v>708245.8</v>
      </c>
    </row>
    <row r="6" spans="1:15" ht="14.4" x14ac:dyDescent="0.3">
      <c r="A6" s="2" t="s">
        <v>16</v>
      </c>
      <c r="B6" s="4">
        <v>273.74</v>
      </c>
      <c r="C6" s="4">
        <v>369.93</v>
      </c>
      <c r="D6" s="4">
        <v>0</v>
      </c>
      <c r="E6" s="4"/>
      <c r="F6" s="4"/>
      <c r="G6" s="4"/>
      <c r="H6" s="3"/>
      <c r="I6" s="4"/>
      <c r="J6" s="4"/>
      <c r="K6" s="4"/>
      <c r="L6" s="4"/>
      <c r="M6" s="4"/>
      <c r="O6" s="5">
        <f t="shared" si="0"/>
        <v>643.67000000000007</v>
      </c>
    </row>
    <row r="7" spans="1:15" ht="14.4" x14ac:dyDescent="0.3">
      <c r="A7" s="2" t="s">
        <v>17</v>
      </c>
      <c r="B7" s="4">
        <v>12465.19</v>
      </c>
      <c r="C7" s="4">
        <v>6698.37</v>
      </c>
      <c r="D7" s="4">
        <v>5127.51</v>
      </c>
      <c r="E7" s="4"/>
      <c r="F7" s="4"/>
      <c r="G7" s="4"/>
      <c r="H7" s="4"/>
      <c r="I7" s="4"/>
      <c r="J7" s="4"/>
      <c r="K7" s="4"/>
      <c r="L7" s="4"/>
      <c r="M7" s="4"/>
      <c r="O7" s="5">
        <f t="shared" si="0"/>
        <v>24291.07</v>
      </c>
    </row>
    <row r="8" spans="1:15" ht="14.4" x14ac:dyDescent="0.3">
      <c r="C8" s="6"/>
      <c r="D8" s="6"/>
      <c r="E8" s="6"/>
      <c r="F8" s="6"/>
      <c r="G8" s="6"/>
      <c r="H8" s="6"/>
      <c r="I8" s="6"/>
      <c r="J8" s="6"/>
    </row>
    <row r="9" spans="1:15" ht="14.4" x14ac:dyDescent="0.3">
      <c r="A9" s="7" t="s">
        <v>18</v>
      </c>
      <c r="B9" s="5">
        <f t="shared" ref="B9:M9" si="1">SUM(B3:B7)</f>
        <v>1137810.5900000001</v>
      </c>
      <c r="C9" s="5">
        <f t="shared" si="1"/>
        <v>877864.49</v>
      </c>
      <c r="D9" s="5">
        <f t="shared" si="1"/>
        <v>5127.51</v>
      </c>
      <c r="E9" s="5">
        <f t="shared" si="1"/>
        <v>0</v>
      </c>
      <c r="F9" s="5">
        <f t="shared" si="1"/>
        <v>0</v>
      </c>
      <c r="G9" s="5">
        <f t="shared" si="1"/>
        <v>0</v>
      </c>
      <c r="H9" s="5">
        <f t="shared" si="1"/>
        <v>0</v>
      </c>
      <c r="I9" s="5">
        <f t="shared" si="1"/>
        <v>0</v>
      </c>
      <c r="J9" s="5">
        <f t="shared" si="1"/>
        <v>0</v>
      </c>
      <c r="K9" s="5">
        <f t="shared" si="1"/>
        <v>0</v>
      </c>
      <c r="L9" s="5">
        <f t="shared" si="1"/>
        <v>0</v>
      </c>
      <c r="M9" s="5">
        <f t="shared" si="1"/>
        <v>0</v>
      </c>
      <c r="N9" s="5"/>
      <c r="O9" s="5">
        <f>SUM(B9:M9)</f>
        <v>2020802.59</v>
      </c>
    </row>
    <row r="10" spans="1:15" ht="14.4" x14ac:dyDescent="0.3">
      <c r="A10" s="7"/>
      <c r="C10" s="6"/>
      <c r="D10" s="6"/>
      <c r="E10" s="6"/>
      <c r="F10" s="6"/>
      <c r="G10" s="6"/>
      <c r="H10" s="6"/>
      <c r="I10" s="6"/>
      <c r="J10" s="6"/>
    </row>
    <row r="11" spans="1:15" ht="14.4" x14ac:dyDescent="0.3">
      <c r="A11" s="8" t="s">
        <v>19</v>
      </c>
      <c r="C11" s="6"/>
      <c r="D11" s="6"/>
      <c r="E11" s="6"/>
      <c r="F11" s="6"/>
      <c r="G11" s="6"/>
      <c r="H11" s="6"/>
      <c r="I11" s="6"/>
      <c r="J11" s="6"/>
    </row>
    <row r="12" spans="1:15" ht="14.4" x14ac:dyDescent="0.3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3"/>
      <c r="O12" s="5">
        <f t="shared" ref="O12:O14" si="2">SUM(B12:N12)</f>
        <v>0</v>
      </c>
    </row>
    <row r="13" spans="1:15" ht="14.4" x14ac:dyDescent="0.3">
      <c r="A13" s="2" t="s">
        <v>21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0</v>
      </c>
      <c r="L13" s="4">
        <v>0</v>
      </c>
      <c r="M13" s="4">
        <v>0</v>
      </c>
      <c r="O13" s="5">
        <f t="shared" si="2"/>
        <v>0</v>
      </c>
    </row>
    <row r="14" spans="1:15" ht="14.4" x14ac:dyDescent="0.3">
      <c r="A14" s="2" t="s">
        <v>19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0</v>
      </c>
      <c r="L14" s="4">
        <v>0</v>
      </c>
      <c r="M14" s="4">
        <v>0</v>
      </c>
      <c r="O14" s="5">
        <f t="shared" si="2"/>
        <v>0</v>
      </c>
    </row>
    <row r="15" spans="1:15" ht="14.4" x14ac:dyDescent="0.3">
      <c r="B15" s="3"/>
      <c r="C15" s="6"/>
      <c r="D15" s="6"/>
      <c r="E15" s="6"/>
      <c r="F15" s="6"/>
      <c r="G15" s="6"/>
      <c r="H15" s="6"/>
      <c r="I15" s="6"/>
      <c r="J15" s="6"/>
    </row>
    <row r="16" spans="1:15" ht="14.4" x14ac:dyDescent="0.3">
      <c r="A16" s="7" t="s">
        <v>22</v>
      </c>
      <c r="B16" s="9">
        <f>SUM(B9,B12:B13)</f>
        <v>1137810.5900000001</v>
      </c>
      <c r="C16" s="9">
        <f>SUM(C9,C12:C14)</f>
        <v>877864.49</v>
      </c>
      <c r="D16" s="9">
        <f t="shared" ref="D16:M16" si="3">SUM(D9,D12:D13)</f>
        <v>5127.51</v>
      </c>
      <c r="E16" s="9">
        <f t="shared" si="3"/>
        <v>0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9">
        <f t="shared" si="3"/>
        <v>0</v>
      </c>
      <c r="J16" s="9">
        <f t="shared" si="3"/>
        <v>0</v>
      </c>
      <c r="K16" s="9">
        <f t="shared" si="3"/>
        <v>0</v>
      </c>
      <c r="L16" s="9">
        <f t="shared" si="3"/>
        <v>0</v>
      </c>
      <c r="M16" s="9">
        <f t="shared" si="3"/>
        <v>0</v>
      </c>
      <c r="N16" s="9"/>
      <c r="O16" s="9">
        <f>SUM(B16:M16)</f>
        <v>2020802.59</v>
      </c>
    </row>
    <row r="18" spans="1:15" ht="14.4" x14ac:dyDescent="0.3">
      <c r="A18" s="8" t="s">
        <v>23</v>
      </c>
      <c r="G18" s="5"/>
      <c r="H18" s="5"/>
    </row>
    <row r="19" spans="1:15" ht="14.4" x14ac:dyDescent="0.3">
      <c r="A19" s="2" t="s">
        <v>24</v>
      </c>
      <c r="B19" s="5">
        <v>7214.37</v>
      </c>
      <c r="C19" s="5">
        <v>8083.68</v>
      </c>
      <c r="D19" s="5"/>
      <c r="E19" s="5"/>
      <c r="F19" s="5"/>
      <c r="G19" s="5"/>
      <c r="H19" s="5"/>
      <c r="I19" s="5"/>
      <c r="J19" s="5"/>
      <c r="K19" s="5"/>
      <c r="L19" s="5"/>
      <c r="M19" s="5"/>
      <c r="O19" s="5">
        <f t="shared" ref="O19:O35" si="4">SUM(B19:N19)</f>
        <v>15298.05</v>
      </c>
    </row>
    <row r="20" spans="1:15" ht="15.75" customHeight="1" x14ac:dyDescent="0.3">
      <c r="A20" s="2" t="s">
        <v>25</v>
      </c>
      <c r="B20" s="5">
        <v>0</v>
      </c>
      <c r="C20" s="5">
        <v>611.14</v>
      </c>
      <c r="D20" s="5">
        <v>1069.19</v>
      </c>
      <c r="E20" s="5"/>
      <c r="F20" s="5"/>
      <c r="G20" s="5"/>
      <c r="H20" s="5"/>
      <c r="I20" s="5"/>
      <c r="J20" s="5"/>
      <c r="K20" s="5"/>
      <c r="L20" s="5"/>
      <c r="M20" s="5"/>
      <c r="O20" s="5">
        <f t="shared" si="4"/>
        <v>1680.33</v>
      </c>
    </row>
    <row r="21" spans="1:15" ht="15.75" customHeight="1" x14ac:dyDescent="0.3">
      <c r="A21" s="2" t="s">
        <v>26</v>
      </c>
      <c r="B21" s="5">
        <v>2368.4699999999998</v>
      </c>
      <c r="C21" s="5">
        <v>2368.54</v>
      </c>
      <c r="D21" s="5"/>
      <c r="E21" s="5"/>
      <c r="F21" s="5"/>
      <c r="G21" s="5"/>
      <c r="H21" s="5"/>
      <c r="I21" s="5"/>
      <c r="J21" s="5"/>
      <c r="K21" s="5"/>
      <c r="L21" s="5"/>
      <c r="M21" s="5"/>
      <c r="O21" s="5">
        <f t="shared" si="4"/>
        <v>4737.01</v>
      </c>
    </row>
    <row r="22" spans="1:15" ht="15.75" customHeight="1" x14ac:dyDescent="0.3">
      <c r="A22" s="2" t="s">
        <v>27</v>
      </c>
      <c r="B22" s="5">
        <v>889</v>
      </c>
      <c r="C22" s="5">
        <v>889</v>
      </c>
      <c r="D22" s="5"/>
      <c r="E22" s="5"/>
      <c r="F22" s="5"/>
      <c r="G22" s="5"/>
      <c r="H22" s="5"/>
      <c r="I22" s="5"/>
      <c r="J22" s="5"/>
      <c r="K22" s="5"/>
      <c r="L22" s="5"/>
      <c r="M22" s="5"/>
      <c r="O22" s="5">
        <f t="shared" si="4"/>
        <v>1778</v>
      </c>
    </row>
    <row r="23" spans="1:15" ht="15.75" customHeight="1" x14ac:dyDescent="0.3">
      <c r="A23" s="2" t="s">
        <v>28</v>
      </c>
      <c r="B23" s="5">
        <v>777</v>
      </c>
      <c r="C23" s="5">
        <v>967.88</v>
      </c>
      <c r="D23" s="5"/>
      <c r="E23" s="5"/>
      <c r="F23" s="5"/>
      <c r="G23" s="5"/>
      <c r="H23" s="5"/>
      <c r="I23" s="5"/>
      <c r="J23" s="5"/>
      <c r="K23" s="5"/>
      <c r="L23" s="5"/>
      <c r="M23" s="5"/>
      <c r="O23" s="5">
        <f t="shared" si="4"/>
        <v>1744.88</v>
      </c>
    </row>
    <row r="24" spans="1:15" ht="15.75" customHeight="1" x14ac:dyDescent="0.3">
      <c r="A24" s="2" t="s">
        <v>29</v>
      </c>
      <c r="B24" s="5">
        <v>1575.5</v>
      </c>
      <c r="C24" s="5">
        <v>1575.5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O24" s="5">
        <f t="shared" si="4"/>
        <v>3151</v>
      </c>
    </row>
    <row r="25" spans="1:15" ht="15.75" customHeight="1" x14ac:dyDescent="0.3">
      <c r="A25" s="2" t="s">
        <v>30</v>
      </c>
      <c r="B25" s="5">
        <v>2126</v>
      </c>
      <c r="C25" s="5">
        <v>2256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O25" s="5">
        <f t="shared" si="4"/>
        <v>4382</v>
      </c>
    </row>
    <row r="26" spans="1:15" ht="15.75" customHeight="1" x14ac:dyDescent="0.3">
      <c r="A26" s="2" t="s">
        <v>31</v>
      </c>
      <c r="B26" s="5">
        <v>17561.3</v>
      </c>
      <c r="C26" s="5">
        <v>11751.4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O26" s="5">
        <f t="shared" si="4"/>
        <v>29312.699999999997</v>
      </c>
    </row>
    <row r="27" spans="1:15" ht="15.75" customHeight="1" x14ac:dyDescent="0.3">
      <c r="A27" s="2" t="s">
        <v>32</v>
      </c>
      <c r="B27" s="5">
        <v>1517.54</v>
      </c>
      <c r="C27" s="5">
        <v>1484.15</v>
      </c>
      <c r="D27" s="5"/>
      <c r="E27" s="5"/>
      <c r="F27" s="5"/>
      <c r="G27" s="5"/>
      <c r="H27" s="5"/>
      <c r="I27" s="5"/>
      <c r="J27" s="5"/>
      <c r="K27" s="5"/>
      <c r="L27" s="5"/>
      <c r="M27" s="5"/>
      <c r="O27" s="5">
        <f t="shared" si="4"/>
        <v>3001.69</v>
      </c>
    </row>
    <row r="28" spans="1:15" ht="15.75" customHeight="1" x14ac:dyDescent="0.3">
      <c r="A28" s="2" t="s">
        <v>147</v>
      </c>
      <c r="B28" s="5">
        <v>14634.27</v>
      </c>
      <c r="C28" s="5">
        <v>14737.25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O28" s="5">
        <f t="shared" si="4"/>
        <v>29371.52</v>
      </c>
    </row>
    <row r="29" spans="1:15" ht="15.75" customHeight="1" x14ac:dyDescent="0.3">
      <c r="A29" s="2" t="s">
        <v>139</v>
      </c>
      <c r="B29" s="5">
        <v>15563.9</v>
      </c>
      <c r="C29" s="5">
        <v>14845.1</v>
      </c>
      <c r="D29" s="5"/>
      <c r="E29" s="5"/>
      <c r="F29" s="5"/>
      <c r="G29" s="5"/>
      <c r="H29" s="5"/>
      <c r="I29" s="5"/>
      <c r="J29" s="5"/>
      <c r="K29" s="5"/>
      <c r="L29" s="5"/>
      <c r="M29" s="5"/>
      <c r="O29" s="5">
        <f t="shared" si="4"/>
        <v>30409</v>
      </c>
    </row>
    <row r="30" spans="1:15" ht="15.75" customHeight="1" x14ac:dyDescent="0.3">
      <c r="A30" s="2" t="s">
        <v>146</v>
      </c>
      <c r="B30" s="5">
        <v>499</v>
      </c>
      <c r="C30" s="5">
        <v>543.44000000000005</v>
      </c>
      <c r="D30" s="5">
        <v>543.44000000000005</v>
      </c>
      <c r="E30" s="5"/>
      <c r="F30" s="5"/>
      <c r="G30" s="5"/>
      <c r="H30" s="5"/>
      <c r="I30" s="5"/>
      <c r="J30" s="5"/>
      <c r="K30" s="5"/>
      <c r="L30" s="5"/>
      <c r="M30" s="5"/>
      <c r="O30" s="5">
        <f t="shared" si="4"/>
        <v>1585.88</v>
      </c>
    </row>
    <row r="31" spans="1:15" ht="15.75" customHeight="1" x14ac:dyDescent="0.3">
      <c r="A31" s="2" t="s">
        <v>33</v>
      </c>
      <c r="B31" s="5">
        <v>353647.5</v>
      </c>
      <c r="C31" s="5">
        <v>197278.72</v>
      </c>
      <c r="D31" s="5">
        <v>450</v>
      </c>
      <c r="E31" s="5">
        <v>450</v>
      </c>
      <c r="F31" s="5">
        <v>450</v>
      </c>
      <c r="G31" s="5">
        <v>450</v>
      </c>
      <c r="H31" s="5">
        <v>450</v>
      </c>
      <c r="I31" s="5">
        <v>450</v>
      </c>
      <c r="J31" s="5">
        <v>450</v>
      </c>
      <c r="K31" s="5">
        <v>450</v>
      </c>
      <c r="L31" s="5">
        <v>450</v>
      </c>
      <c r="M31" s="5">
        <v>450</v>
      </c>
      <c r="O31" s="5">
        <f t="shared" si="4"/>
        <v>555426.22</v>
      </c>
    </row>
    <row r="32" spans="1:15" ht="15.75" customHeight="1" x14ac:dyDescent="0.3">
      <c r="A32" s="2" t="s">
        <v>34</v>
      </c>
      <c r="B32" s="5">
        <v>8405.19</v>
      </c>
      <c r="C32" s="5">
        <v>12467.86</v>
      </c>
      <c r="D32" s="5"/>
      <c r="E32" s="5"/>
      <c r="F32" s="5"/>
      <c r="G32" s="5"/>
      <c r="H32" s="5"/>
      <c r="I32" s="5"/>
      <c r="J32" s="5"/>
      <c r="K32" s="5"/>
      <c r="L32" s="5"/>
      <c r="M32" s="5"/>
      <c r="O32" s="5">
        <f t="shared" si="4"/>
        <v>20873.050000000003</v>
      </c>
    </row>
    <row r="33" spans="1:15" ht="15.75" customHeight="1" x14ac:dyDescent="0.3">
      <c r="A33" s="2" t="s">
        <v>35</v>
      </c>
      <c r="B33" s="5">
        <v>7685.94</v>
      </c>
      <c r="C33" s="5">
        <v>4465.58</v>
      </c>
      <c r="D33" s="5">
        <v>3928.1</v>
      </c>
      <c r="E33" s="5"/>
      <c r="F33" s="5"/>
      <c r="G33" s="5"/>
      <c r="H33" s="5"/>
      <c r="I33" s="5"/>
      <c r="J33" s="5"/>
      <c r="K33" s="5"/>
      <c r="L33" s="5"/>
      <c r="M33" s="5"/>
      <c r="O33" s="5">
        <f t="shared" si="4"/>
        <v>16079.62</v>
      </c>
    </row>
    <row r="34" spans="1:15" ht="15.75" customHeight="1" x14ac:dyDescent="0.3">
      <c r="A34" s="2" t="s">
        <v>36</v>
      </c>
      <c r="B34" s="5">
        <v>188.06</v>
      </c>
      <c r="C34" s="5">
        <v>264.24</v>
      </c>
      <c r="D34" s="5"/>
      <c r="E34" s="5"/>
      <c r="F34" s="5"/>
      <c r="G34" s="5"/>
      <c r="H34" s="5"/>
      <c r="I34" s="5"/>
      <c r="J34" s="5"/>
      <c r="K34" s="5"/>
      <c r="L34" s="5"/>
      <c r="M34" s="5"/>
      <c r="O34" s="5">
        <f t="shared" si="4"/>
        <v>452.3</v>
      </c>
    </row>
    <row r="35" spans="1:15" ht="15.75" customHeight="1" x14ac:dyDescent="0.3">
      <c r="A35" s="2" t="s">
        <v>37</v>
      </c>
      <c r="B35" s="5">
        <v>157135.04999999999</v>
      </c>
      <c r="C35" s="5">
        <v>152622.22</v>
      </c>
      <c r="D35" s="5"/>
      <c r="E35" s="5"/>
      <c r="F35" s="5"/>
      <c r="G35" s="5"/>
      <c r="H35" s="5"/>
      <c r="I35" s="5"/>
      <c r="J35" s="5"/>
      <c r="K35" s="5"/>
      <c r="L35" s="5"/>
      <c r="M35" s="5"/>
      <c r="O35" s="5">
        <f t="shared" si="4"/>
        <v>309757.27</v>
      </c>
    </row>
    <row r="36" spans="1:15" ht="15.75" customHeight="1" x14ac:dyDescent="0.3"/>
    <row r="37" spans="1:15" ht="15.75" customHeight="1" x14ac:dyDescent="0.3">
      <c r="A37" s="7" t="s">
        <v>38</v>
      </c>
      <c r="B37" s="10">
        <f t="shared" ref="B37:M37" si="5">SUM(B19:B35)</f>
        <v>591788.09</v>
      </c>
      <c r="C37" s="10">
        <f t="shared" si="5"/>
        <v>427211.69999999995</v>
      </c>
      <c r="D37" s="10">
        <f t="shared" si="5"/>
        <v>5990.73</v>
      </c>
      <c r="E37" s="10">
        <f t="shared" si="5"/>
        <v>450</v>
      </c>
      <c r="F37" s="10">
        <f t="shared" si="5"/>
        <v>450</v>
      </c>
      <c r="G37" s="10">
        <f t="shared" si="5"/>
        <v>450</v>
      </c>
      <c r="H37" s="10">
        <f t="shared" si="5"/>
        <v>450</v>
      </c>
      <c r="I37" s="10">
        <f t="shared" si="5"/>
        <v>450</v>
      </c>
      <c r="J37" s="10">
        <f t="shared" si="5"/>
        <v>450</v>
      </c>
      <c r="K37" s="10">
        <f t="shared" si="5"/>
        <v>450</v>
      </c>
      <c r="L37" s="10">
        <f t="shared" si="5"/>
        <v>450</v>
      </c>
      <c r="M37" s="10">
        <f t="shared" si="5"/>
        <v>450</v>
      </c>
      <c r="N37" s="10"/>
      <c r="O37" s="9">
        <f>SUM(B37:M37)</f>
        <v>1029040.5199999999</v>
      </c>
    </row>
    <row r="38" spans="1:15" ht="15.75" customHeight="1" x14ac:dyDescent="0.3">
      <c r="A38" s="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ht="15.75" customHeight="1" x14ac:dyDescent="0.3">
      <c r="A39" s="2" t="s">
        <v>39</v>
      </c>
      <c r="B39" s="5">
        <v>19000</v>
      </c>
      <c r="C39" s="5">
        <v>19000</v>
      </c>
      <c r="D39" s="5"/>
      <c r="E39" s="5"/>
      <c r="F39" s="5"/>
      <c r="G39" s="5"/>
      <c r="H39" s="5"/>
      <c r="I39" s="5"/>
      <c r="J39" s="5"/>
      <c r="K39" s="5"/>
      <c r="L39" s="5"/>
      <c r="M39" s="5"/>
      <c r="O39" s="5">
        <f t="shared" ref="O39:O65" si="6">SUM(B39:N39)</f>
        <v>38000</v>
      </c>
    </row>
    <row r="40" spans="1:15" ht="15.75" customHeight="1" x14ac:dyDescent="0.3">
      <c r="A40" s="2" t="s">
        <v>148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O40" s="5">
        <f t="shared" si="6"/>
        <v>0</v>
      </c>
    </row>
    <row r="41" spans="1:15" ht="15.75" customHeight="1" x14ac:dyDescent="0.3">
      <c r="A41" s="2" t="s">
        <v>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O41" s="5">
        <f t="shared" si="6"/>
        <v>0</v>
      </c>
    </row>
    <row r="42" spans="1:15" ht="15.75" customHeight="1" x14ac:dyDescent="0.3">
      <c r="A42" s="2" t="s">
        <v>42</v>
      </c>
      <c r="B42" s="5">
        <v>0</v>
      </c>
      <c r="C42" s="5">
        <v>0</v>
      </c>
      <c r="D42" s="5"/>
      <c r="E42" s="5"/>
      <c r="F42" s="5"/>
      <c r="G42" s="5"/>
      <c r="H42" s="5"/>
      <c r="I42" s="5"/>
      <c r="J42" s="5"/>
      <c r="K42" s="5"/>
      <c r="L42" s="5"/>
      <c r="M42" s="5"/>
      <c r="O42" s="5">
        <f t="shared" si="6"/>
        <v>0</v>
      </c>
    </row>
    <row r="43" spans="1:15" ht="15.75" customHeight="1" x14ac:dyDescent="0.3">
      <c r="A43" s="2" t="s">
        <v>43</v>
      </c>
      <c r="B43" s="5">
        <v>5146.2700000000004</v>
      </c>
      <c r="C43" s="5">
        <v>4897.95</v>
      </c>
      <c r="D43" s="5"/>
      <c r="E43" s="5"/>
      <c r="F43" s="5"/>
      <c r="G43" s="5"/>
      <c r="H43" s="5"/>
      <c r="I43" s="5"/>
      <c r="J43" s="5"/>
      <c r="K43" s="5"/>
      <c r="L43" s="5"/>
      <c r="M43" s="5"/>
      <c r="O43" s="5">
        <f t="shared" si="6"/>
        <v>10044.220000000001</v>
      </c>
    </row>
    <row r="44" spans="1:15" ht="15.75" customHeight="1" x14ac:dyDescent="0.3">
      <c r="A44" s="2" t="s">
        <v>44</v>
      </c>
      <c r="B44" s="5">
        <v>16913.099999999999</v>
      </c>
      <c r="C44" s="5">
        <v>16913.099999999999</v>
      </c>
      <c r="D44" s="5"/>
      <c r="E44" s="5"/>
      <c r="F44" s="5"/>
      <c r="G44" s="5"/>
      <c r="H44" s="5"/>
      <c r="I44" s="5"/>
      <c r="J44" s="5"/>
      <c r="K44" s="5"/>
      <c r="L44" s="5"/>
      <c r="M44" s="5"/>
      <c r="O44" s="5">
        <f t="shared" si="6"/>
        <v>33826.199999999997</v>
      </c>
    </row>
    <row r="45" spans="1:15" ht="15.75" customHeight="1" x14ac:dyDescent="0.3">
      <c r="A45" s="2" t="s">
        <v>45</v>
      </c>
      <c r="B45" s="5">
        <v>471.7</v>
      </c>
      <c r="C45" s="5">
        <v>471.7</v>
      </c>
      <c r="D45" s="5"/>
      <c r="E45" s="5"/>
      <c r="F45" s="5"/>
      <c r="G45" s="5"/>
      <c r="H45" s="5"/>
      <c r="I45" s="5"/>
      <c r="J45" s="5"/>
      <c r="K45" s="5"/>
      <c r="L45" s="5"/>
      <c r="M45" s="5"/>
      <c r="O45" s="5">
        <f t="shared" si="6"/>
        <v>943.4</v>
      </c>
    </row>
    <row r="46" spans="1:15" ht="15.75" customHeight="1" x14ac:dyDescent="0.3">
      <c r="A46" s="2" t="s">
        <v>46</v>
      </c>
      <c r="B46" s="5">
        <v>19696.02</v>
      </c>
      <c r="C46" s="5">
        <v>19696.02</v>
      </c>
      <c r="D46" s="5"/>
      <c r="E46" s="5"/>
      <c r="F46" s="5"/>
      <c r="G46" s="5"/>
      <c r="H46" s="5"/>
      <c r="I46" s="5"/>
      <c r="J46" s="5"/>
      <c r="K46" s="5"/>
      <c r="L46" s="5"/>
      <c r="M46" s="5"/>
      <c r="O46" s="5">
        <f t="shared" si="6"/>
        <v>39392.04</v>
      </c>
    </row>
    <row r="47" spans="1:15" ht="15.75" customHeight="1" x14ac:dyDescent="0.3">
      <c r="A47" s="2" t="s">
        <v>47</v>
      </c>
      <c r="B47" s="5">
        <v>472.24</v>
      </c>
      <c r="C47" s="5">
        <v>415.96</v>
      </c>
      <c r="D47" s="5"/>
      <c r="E47" s="5"/>
      <c r="F47" s="5"/>
      <c r="G47" s="5"/>
      <c r="H47" s="5"/>
      <c r="I47" s="5"/>
      <c r="J47" s="5"/>
      <c r="K47" s="5"/>
      <c r="L47" s="5"/>
      <c r="M47" s="5"/>
      <c r="O47" s="5">
        <f t="shared" si="6"/>
        <v>888.2</v>
      </c>
    </row>
    <row r="48" spans="1:15" ht="15.75" customHeight="1" x14ac:dyDescent="0.3">
      <c r="A48" s="2" t="s">
        <v>48</v>
      </c>
      <c r="B48" s="5">
        <v>2118.4699999999998</v>
      </c>
      <c r="C48" s="5">
        <v>2356.02</v>
      </c>
      <c r="D48" s="5"/>
      <c r="E48" s="5"/>
      <c r="F48" s="5"/>
      <c r="G48" s="5"/>
      <c r="H48" s="5"/>
      <c r="I48" s="5"/>
      <c r="J48" s="5"/>
      <c r="K48" s="5"/>
      <c r="L48" s="5"/>
      <c r="M48" s="5"/>
      <c r="O48" s="5">
        <f t="shared" si="6"/>
        <v>4474.49</v>
      </c>
    </row>
    <row r="49" spans="1:15" ht="15.75" customHeight="1" x14ac:dyDescent="0.3">
      <c r="A49" s="2" t="s">
        <v>49</v>
      </c>
      <c r="B49" s="5">
        <v>2461.5</v>
      </c>
      <c r="C49" s="5">
        <v>2461.5</v>
      </c>
      <c r="D49" s="5"/>
      <c r="E49" s="5"/>
      <c r="F49" s="5"/>
      <c r="G49" s="5"/>
      <c r="H49" s="5"/>
      <c r="I49" s="5"/>
      <c r="J49" s="5"/>
      <c r="K49" s="5"/>
      <c r="L49" s="5"/>
      <c r="M49" s="5"/>
      <c r="O49" s="5">
        <f t="shared" si="6"/>
        <v>4923</v>
      </c>
    </row>
    <row r="50" spans="1:15" ht="15.75" customHeight="1" x14ac:dyDescent="0.3">
      <c r="A50" s="2" t="s">
        <v>50</v>
      </c>
      <c r="B50" s="5">
        <v>6690</v>
      </c>
      <c r="C50" s="5">
        <v>7457.38</v>
      </c>
      <c r="D50" s="5">
        <v>7485.55</v>
      </c>
      <c r="E50" s="5"/>
      <c r="F50" s="5"/>
      <c r="G50" s="5"/>
      <c r="H50" s="5"/>
      <c r="I50" s="5"/>
      <c r="J50" s="5"/>
      <c r="K50" s="5"/>
      <c r="L50" s="5"/>
      <c r="M50" s="5"/>
      <c r="O50" s="5">
        <f t="shared" si="6"/>
        <v>21632.93</v>
      </c>
    </row>
    <row r="51" spans="1:15" ht="15.75" customHeight="1" x14ac:dyDescent="0.3">
      <c r="A51" s="2" t="s">
        <v>51</v>
      </c>
      <c r="B51" s="5">
        <v>130444.94</v>
      </c>
      <c r="C51" s="5">
        <v>127747.55</v>
      </c>
      <c r="D51" s="5"/>
      <c r="E51" s="5"/>
      <c r="F51" s="5"/>
      <c r="G51" s="5"/>
      <c r="H51" s="5"/>
      <c r="I51" s="5"/>
      <c r="J51" s="5"/>
      <c r="K51" s="5"/>
      <c r="L51" s="5"/>
      <c r="M51" s="5"/>
      <c r="O51" s="5">
        <f t="shared" si="6"/>
        <v>258192.49</v>
      </c>
    </row>
    <row r="52" spans="1:15" ht="15.75" customHeight="1" x14ac:dyDescent="0.3">
      <c r="A52" s="2" t="s">
        <v>52</v>
      </c>
      <c r="B52" s="5">
        <v>7276.14</v>
      </c>
      <c r="C52" s="5">
        <v>7558.8</v>
      </c>
      <c r="D52" s="5"/>
      <c r="E52" s="5"/>
      <c r="F52" s="5"/>
      <c r="G52" s="5"/>
      <c r="H52" s="5"/>
      <c r="I52" s="5"/>
      <c r="J52" s="5"/>
      <c r="K52" s="5"/>
      <c r="L52" s="5"/>
      <c r="M52" s="5"/>
      <c r="O52" s="5">
        <f t="shared" si="6"/>
        <v>14834.94</v>
      </c>
    </row>
    <row r="53" spans="1:15" ht="15.75" customHeight="1" x14ac:dyDescent="0.3">
      <c r="A53" s="2" t="s">
        <v>53</v>
      </c>
      <c r="B53" s="5">
        <v>1626</v>
      </c>
      <c r="C53" s="5">
        <v>1730</v>
      </c>
      <c r="D53" s="5"/>
      <c r="E53" s="5"/>
      <c r="F53" s="5"/>
      <c r="G53" s="5"/>
      <c r="H53" s="5"/>
      <c r="I53" s="5"/>
      <c r="J53" s="5"/>
      <c r="K53" s="5"/>
      <c r="L53" s="5"/>
      <c r="M53" s="5"/>
      <c r="O53" s="5">
        <f t="shared" si="6"/>
        <v>3356</v>
      </c>
    </row>
    <row r="54" spans="1:15" ht="15.75" customHeight="1" x14ac:dyDescent="0.3">
      <c r="A54" s="2" t="s">
        <v>54</v>
      </c>
      <c r="B54" s="5">
        <v>900</v>
      </c>
      <c r="C54" s="5">
        <v>2700</v>
      </c>
      <c r="D54" s="5"/>
      <c r="E54" s="5"/>
      <c r="F54" s="5"/>
      <c r="G54" s="5"/>
      <c r="H54" s="5"/>
      <c r="I54" s="5"/>
      <c r="J54" s="5"/>
      <c r="K54" s="5"/>
      <c r="L54" s="5"/>
      <c r="M54" s="5"/>
      <c r="O54" s="5">
        <f t="shared" si="6"/>
        <v>3600</v>
      </c>
    </row>
    <row r="55" spans="1:15" ht="15.75" customHeight="1" x14ac:dyDescent="0.3">
      <c r="B55" s="5"/>
      <c r="C55" s="5"/>
      <c r="D55" s="5"/>
      <c r="E55" s="5"/>
      <c r="F55" s="5"/>
      <c r="G55" s="5"/>
      <c r="H55" s="5"/>
      <c r="I55" s="5"/>
      <c r="J55" s="5"/>
      <c r="K55" s="5"/>
      <c r="O55" s="5">
        <f t="shared" si="6"/>
        <v>0</v>
      </c>
    </row>
    <row r="56" spans="1:15" ht="15.75" customHeight="1" x14ac:dyDescent="0.3">
      <c r="A56" s="8" t="s">
        <v>55</v>
      </c>
      <c r="H56" s="11"/>
      <c r="I56" s="5"/>
      <c r="O56" s="5">
        <f t="shared" si="6"/>
        <v>0</v>
      </c>
    </row>
    <row r="57" spans="1:15" ht="15.75" customHeight="1" x14ac:dyDescent="0.3">
      <c r="A57" s="27" t="s">
        <v>133</v>
      </c>
      <c r="B57" s="5">
        <v>20232.86</v>
      </c>
      <c r="C57" s="5">
        <v>19973.41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O57" s="5">
        <f t="shared" si="6"/>
        <v>40206.270000000004</v>
      </c>
    </row>
    <row r="58" spans="1:15" ht="15.75" customHeight="1" x14ac:dyDescent="0.3">
      <c r="H58" s="11"/>
      <c r="O58" s="5">
        <f t="shared" si="6"/>
        <v>0</v>
      </c>
    </row>
    <row r="59" spans="1:15" ht="15.75" customHeight="1" x14ac:dyDescent="0.3">
      <c r="A59" s="8" t="s">
        <v>56</v>
      </c>
      <c r="H59" s="11"/>
      <c r="O59" s="5">
        <f t="shared" si="6"/>
        <v>0</v>
      </c>
    </row>
    <row r="60" spans="1:15" ht="15.75" customHeight="1" x14ac:dyDescent="0.3">
      <c r="A60" s="2" t="s">
        <v>57</v>
      </c>
      <c r="B60" s="5">
        <v>2000</v>
      </c>
      <c r="C60" s="5">
        <v>2000</v>
      </c>
      <c r="D60" s="5"/>
      <c r="E60" s="5"/>
      <c r="F60" s="5"/>
      <c r="G60" s="5"/>
      <c r="H60" s="5"/>
      <c r="I60" s="5"/>
      <c r="J60" s="5"/>
      <c r="K60" s="5"/>
      <c r="L60" s="5"/>
      <c r="M60" s="5"/>
      <c r="O60" s="5">
        <f t="shared" si="6"/>
        <v>4000</v>
      </c>
    </row>
    <row r="61" spans="1:15" ht="15.75" customHeight="1" x14ac:dyDescent="0.3">
      <c r="A61" s="2" t="s">
        <v>58</v>
      </c>
      <c r="B61" s="5">
        <v>0</v>
      </c>
      <c r="C61" s="5">
        <v>0</v>
      </c>
      <c r="D61" s="5"/>
      <c r="E61" s="5"/>
      <c r="F61" s="5"/>
      <c r="G61" s="5"/>
      <c r="H61" s="5"/>
      <c r="I61" s="5"/>
      <c r="J61" s="5"/>
      <c r="K61" s="5"/>
      <c r="L61" s="5"/>
      <c r="M61" s="5"/>
      <c r="O61" s="5">
        <f t="shared" si="6"/>
        <v>0</v>
      </c>
    </row>
    <row r="62" spans="1:15" ht="15.75" customHeight="1" x14ac:dyDescent="0.3">
      <c r="A62" s="2" t="s">
        <v>59</v>
      </c>
      <c r="B62" s="5">
        <v>3895</v>
      </c>
      <c r="C62" s="5">
        <v>13324.59</v>
      </c>
      <c r="D62" s="5"/>
      <c r="E62" s="5"/>
      <c r="F62" s="5"/>
      <c r="G62" s="5"/>
      <c r="H62" s="5"/>
      <c r="I62" s="5"/>
      <c r="J62" s="5"/>
      <c r="K62" s="5"/>
      <c r="L62" s="5"/>
      <c r="M62" s="5"/>
      <c r="O62" s="5">
        <f t="shared" si="6"/>
        <v>17219.59</v>
      </c>
    </row>
    <row r="63" spans="1:15" ht="15.75" customHeight="1" x14ac:dyDescent="0.3">
      <c r="A63" s="2" t="s">
        <v>60</v>
      </c>
      <c r="B63" s="5">
        <v>4785.66</v>
      </c>
      <c r="C63" s="5">
        <v>4858.8599999999997</v>
      </c>
      <c r="D63" s="5"/>
      <c r="E63" s="5"/>
      <c r="F63" s="5"/>
      <c r="G63" s="5"/>
      <c r="H63" s="5"/>
      <c r="I63" s="5"/>
      <c r="J63" s="5"/>
      <c r="K63" s="5"/>
      <c r="L63" s="5"/>
      <c r="M63" s="5"/>
      <c r="O63" s="5">
        <f t="shared" si="6"/>
        <v>9644.52</v>
      </c>
    </row>
    <row r="64" spans="1:15" ht="15.75" customHeight="1" x14ac:dyDescent="0.3">
      <c r="A64" s="2" t="s">
        <v>61</v>
      </c>
      <c r="B64" s="5">
        <v>9790.2999999999993</v>
      </c>
      <c r="C64" s="5">
        <v>19663.2</v>
      </c>
      <c r="D64" s="5"/>
      <c r="E64" s="5"/>
      <c r="F64" s="5"/>
      <c r="G64" s="5"/>
      <c r="H64" s="5"/>
      <c r="I64" s="5"/>
      <c r="J64" s="5"/>
      <c r="K64" s="5"/>
      <c r="L64" s="5"/>
      <c r="M64" s="5"/>
      <c r="O64" s="5">
        <f t="shared" si="6"/>
        <v>29453.5</v>
      </c>
    </row>
    <row r="65" spans="1:15" ht="15.75" customHeight="1" x14ac:dyDescent="0.3">
      <c r="A65" s="2" t="s">
        <v>62</v>
      </c>
      <c r="B65" s="5">
        <v>11579.05</v>
      </c>
      <c r="C65" s="5">
        <v>8066</v>
      </c>
      <c r="D65" s="5"/>
      <c r="E65" s="5"/>
      <c r="F65" s="5"/>
      <c r="G65" s="5"/>
      <c r="H65" s="5"/>
      <c r="I65" s="5"/>
      <c r="J65" s="5"/>
      <c r="K65" s="5"/>
      <c r="L65" s="5"/>
      <c r="M65" s="5"/>
      <c r="O65" s="5">
        <f t="shared" si="6"/>
        <v>19645.05</v>
      </c>
    </row>
    <row r="66" spans="1:15" ht="15.75" customHeight="1" x14ac:dyDescent="0.3">
      <c r="B66" s="5"/>
      <c r="C66" s="5"/>
      <c r="F66" s="5"/>
      <c r="G66" s="5"/>
      <c r="H66" s="5"/>
      <c r="I66" s="5"/>
      <c r="J66" s="5"/>
    </row>
    <row r="67" spans="1:15" ht="15.75" customHeight="1" x14ac:dyDescent="0.3">
      <c r="A67" s="7" t="s">
        <v>63</v>
      </c>
      <c r="B67" s="10">
        <f>SUM(B37,B39:B65)</f>
        <v>857287.34</v>
      </c>
      <c r="C67" s="10">
        <f>SUM(C37,C39:C65)</f>
        <v>708503.74</v>
      </c>
      <c r="D67" s="10">
        <f>SUM(D37,D39:D65)</f>
        <v>13476.279999999999</v>
      </c>
      <c r="E67" s="10">
        <f t="shared" ref="E67:M67" si="7">SUM(E37,E39:E65)</f>
        <v>450</v>
      </c>
      <c r="F67" s="10">
        <f t="shared" si="7"/>
        <v>450</v>
      </c>
      <c r="G67" s="10">
        <f t="shared" si="7"/>
        <v>450</v>
      </c>
      <c r="H67" s="10">
        <f t="shared" si="7"/>
        <v>450</v>
      </c>
      <c r="I67" s="10">
        <f t="shared" si="7"/>
        <v>450</v>
      </c>
      <c r="J67" s="10">
        <f t="shared" si="7"/>
        <v>450</v>
      </c>
      <c r="K67" s="10">
        <f t="shared" si="7"/>
        <v>450</v>
      </c>
      <c r="L67" s="10">
        <f t="shared" si="7"/>
        <v>450</v>
      </c>
      <c r="M67" s="10">
        <f t="shared" si="7"/>
        <v>450</v>
      </c>
      <c r="N67" s="10"/>
      <c r="O67" s="9">
        <f>SUM(B67:M67)</f>
        <v>1583317.36</v>
      </c>
    </row>
    <row r="68" spans="1:15" ht="15.75" customHeight="1" x14ac:dyDescent="0.3">
      <c r="B68" s="5"/>
      <c r="F68" s="5"/>
      <c r="G68" s="5"/>
      <c r="H68" s="5"/>
      <c r="I68" s="5"/>
    </row>
    <row r="69" spans="1:15" ht="15.75" customHeight="1" x14ac:dyDescent="0.3">
      <c r="A69" s="7" t="s">
        <v>64</v>
      </c>
      <c r="B69" s="12">
        <f>SUM(B16-B67)</f>
        <v>280523.25000000012</v>
      </c>
      <c r="C69" s="12">
        <f t="shared" ref="C69:M69" si="8">SUM(C16-C67)</f>
        <v>169360.75</v>
      </c>
      <c r="D69" s="12">
        <f t="shared" si="8"/>
        <v>-8348.7699999999986</v>
      </c>
      <c r="E69" s="12">
        <f t="shared" si="8"/>
        <v>-450</v>
      </c>
      <c r="F69" s="12">
        <f t="shared" si="8"/>
        <v>-450</v>
      </c>
      <c r="G69" s="12">
        <f t="shared" si="8"/>
        <v>-450</v>
      </c>
      <c r="H69" s="12">
        <f t="shared" si="8"/>
        <v>-450</v>
      </c>
      <c r="I69" s="12">
        <f t="shared" si="8"/>
        <v>-450</v>
      </c>
      <c r="J69" s="12">
        <f t="shared" si="8"/>
        <v>-450</v>
      </c>
      <c r="K69" s="12">
        <f t="shared" si="8"/>
        <v>-450</v>
      </c>
      <c r="L69" s="12">
        <f t="shared" si="8"/>
        <v>-450</v>
      </c>
      <c r="M69" s="12">
        <f t="shared" si="8"/>
        <v>-450</v>
      </c>
      <c r="N69" s="5"/>
      <c r="O69" s="9">
        <f>SUM(B69:M69)</f>
        <v>437485.2300000001</v>
      </c>
    </row>
    <row r="70" spans="1:15" ht="15.75" customHeight="1" x14ac:dyDescent="0.3"/>
    <row r="71" spans="1:15" ht="15.75" customHeight="1" x14ac:dyDescent="0.3">
      <c r="A71" s="7" t="s">
        <v>65</v>
      </c>
    </row>
    <row r="72" spans="1:15" ht="15.75" customHeight="1" x14ac:dyDescent="0.3">
      <c r="A72" s="7"/>
    </row>
    <row r="73" spans="1:15" ht="15.75" customHeight="1" x14ac:dyDescent="0.3">
      <c r="A73" s="2" t="s">
        <v>66</v>
      </c>
      <c r="B73" s="5">
        <v>711.02</v>
      </c>
      <c r="C73" s="2">
        <v>721.89</v>
      </c>
      <c r="D73" s="2"/>
      <c r="E73" s="2"/>
      <c r="F73" s="2"/>
      <c r="G73" s="5"/>
      <c r="H73" s="5"/>
      <c r="I73" s="5"/>
      <c r="J73" s="5"/>
      <c r="K73" s="5"/>
      <c r="L73" s="5"/>
      <c r="M73" s="5"/>
      <c r="O73" s="5">
        <f>SUM(B73:N73)</f>
        <v>1432.9099999999999</v>
      </c>
    </row>
    <row r="74" spans="1:15" ht="15.75" customHeight="1" x14ac:dyDescent="0.3">
      <c r="A74" s="14"/>
      <c r="B74" s="15"/>
      <c r="C74" s="15"/>
      <c r="D74" s="15"/>
      <c r="E74" s="15"/>
      <c r="F74" s="15"/>
      <c r="G74" s="15"/>
      <c r="H74" s="5"/>
      <c r="I74" s="5"/>
      <c r="J74" s="5"/>
      <c r="K74" s="5"/>
      <c r="L74" s="5"/>
      <c r="M74" s="5"/>
    </row>
    <row r="75" spans="1:15" ht="15.75" customHeight="1" x14ac:dyDescent="0.3">
      <c r="A75" s="16" t="s">
        <v>68</v>
      </c>
      <c r="B75" s="15"/>
      <c r="C75" s="15"/>
      <c r="D75" s="15"/>
      <c r="E75" s="15"/>
      <c r="F75" s="15"/>
      <c r="G75" s="15"/>
      <c r="H75" s="5"/>
      <c r="I75" s="5"/>
      <c r="J75" s="5"/>
      <c r="K75" s="5"/>
      <c r="L75" s="5"/>
      <c r="M75" s="5"/>
    </row>
    <row r="76" spans="1:15" ht="15.75" customHeight="1" x14ac:dyDescent="0.3">
      <c r="A76" s="1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5" ht="15.75" customHeight="1" x14ac:dyDescent="0.3">
      <c r="A77" s="14" t="s">
        <v>69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O77" s="5">
        <f t="shared" ref="O77" si="9">SUM(B77:N77)</f>
        <v>0</v>
      </c>
    </row>
    <row r="78" spans="1:15" ht="15.75" customHeight="1" x14ac:dyDescent="0.3"/>
    <row r="79" spans="1:15" ht="15.75" customHeight="1" x14ac:dyDescent="0.3">
      <c r="A79" s="8" t="s">
        <v>70</v>
      </c>
      <c r="B79" s="11"/>
      <c r="D79" s="11"/>
      <c r="E79" s="11"/>
      <c r="F79" s="11"/>
      <c r="G79" s="11"/>
      <c r="H79" s="11"/>
      <c r="I79" s="17"/>
      <c r="J79" s="18"/>
      <c r="K79" s="11"/>
      <c r="L79" s="18"/>
      <c r="O79" s="11"/>
    </row>
    <row r="80" spans="1:15" ht="15.75" customHeight="1" x14ac:dyDescent="0.3">
      <c r="A80" s="2" t="s">
        <v>71</v>
      </c>
      <c r="B80" s="5">
        <v>62665.61</v>
      </c>
      <c r="C80" s="2">
        <v>70496.13</v>
      </c>
      <c r="D80" s="5"/>
      <c r="E80" s="5"/>
      <c r="F80" s="5"/>
      <c r="G80" s="5"/>
      <c r="H80" s="5"/>
      <c r="I80" s="5"/>
      <c r="J80" s="5"/>
      <c r="K80" s="5"/>
      <c r="L80" s="5"/>
      <c r="M80" s="5"/>
      <c r="O80" s="5"/>
    </row>
    <row r="81" spans="1:15" ht="15.75" customHeight="1" x14ac:dyDescent="0.3">
      <c r="A81" s="2" t="s">
        <v>135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O81" s="5"/>
    </row>
    <row r="82" spans="1:15" ht="15.75" customHeight="1" x14ac:dyDescent="0.3">
      <c r="A82" s="2" t="s">
        <v>72</v>
      </c>
      <c r="B82" s="5">
        <v>70357.88</v>
      </c>
      <c r="C82" s="5">
        <v>60941.65</v>
      </c>
      <c r="D82" s="5"/>
      <c r="E82" s="5"/>
      <c r="F82" s="5"/>
      <c r="G82" s="5"/>
      <c r="H82" s="5"/>
      <c r="I82" s="5"/>
      <c r="J82" s="5"/>
      <c r="K82" s="5"/>
      <c r="L82" s="5"/>
      <c r="M82" s="5"/>
      <c r="O82" s="5"/>
    </row>
    <row r="83" spans="1:15" ht="15.75" hidden="1" customHeight="1" x14ac:dyDescent="0.3">
      <c r="A83" s="2"/>
      <c r="B83" s="5">
        <f t="shared" ref="B83:M83" si="10">SUM(B73:B82)</f>
        <v>133734.51</v>
      </c>
      <c r="C83" s="5">
        <f t="shared" si="10"/>
        <v>132159.67000000001</v>
      </c>
      <c r="D83" s="5">
        <f t="shared" si="10"/>
        <v>0</v>
      </c>
      <c r="E83" s="5">
        <f t="shared" si="10"/>
        <v>0</v>
      </c>
      <c r="F83" s="5">
        <f t="shared" si="10"/>
        <v>0</v>
      </c>
      <c r="G83" s="5">
        <f t="shared" si="10"/>
        <v>0</v>
      </c>
      <c r="H83" s="5">
        <f t="shared" si="10"/>
        <v>0</v>
      </c>
      <c r="I83" s="5">
        <f t="shared" si="10"/>
        <v>0</v>
      </c>
      <c r="J83" s="5">
        <f t="shared" si="10"/>
        <v>0</v>
      </c>
      <c r="K83" s="5">
        <f t="shared" si="10"/>
        <v>0</v>
      </c>
      <c r="L83" s="5">
        <f t="shared" si="10"/>
        <v>0</v>
      </c>
      <c r="M83" s="5">
        <f t="shared" si="10"/>
        <v>0</v>
      </c>
      <c r="O83" s="5"/>
    </row>
    <row r="84" spans="1:15" ht="15.75" customHeight="1" x14ac:dyDescent="0.3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O84" s="5"/>
    </row>
    <row r="85" spans="1:15" ht="15.75" hidden="1" customHeight="1" x14ac:dyDescent="0.3">
      <c r="B85" s="5">
        <f>SUM(B73:B82)</f>
        <v>133734.51</v>
      </c>
      <c r="C85" s="5">
        <f t="shared" ref="C85:M85" si="11">SUM(C73:C82)</f>
        <v>132159.67000000001</v>
      </c>
      <c r="D85" s="5">
        <f t="shared" si="11"/>
        <v>0</v>
      </c>
      <c r="E85" s="5">
        <f t="shared" si="11"/>
        <v>0</v>
      </c>
      <c r="F85" s="5">
        <f t="shared" si="11"/>
        <v>0</v>
      </c>
      <c r="G85" s="5">
        <f t="shared" si="11"/>
        <v>0</v>
      </c>
      <c r="H85" s="5">
        <f t="shared" si="11"/>
        <v>0</v>
      </c>
      <c r="I85" s="5">
        <f t="shared" si="11"/>
        <v>0</v>
      </c>
      <c r="J85" s="5">
        <f t="shared" si="11"/>
        <v>0</v>
      </c>
      <c r="K85" s="5">
        <f t="shared" si="11"/>
        <v>0</v>
      </c>
      <c r="L85" s="5">
        <f t="shared" si="11"/>
        <v>0</v>
      </c>
      <c r="M85" s="5">
        <f t="shared" si="11"/>
        <v>0</v>
      </c>
    </row>
    <row r="86" spans="1:15" ht="15.75" customHeight="1" x14ac:dyDescent="0.3">
      <c r="A86" s="7" t="s">
        <v>73</v>
      </c>
      <c r="B86" s="10">
        <f>SUM(B69-B85)</f>
        <v>146788.74000000011</v>
      </c>
      <c r="C86" s="10">
        <f t="shared" ref="C86:M86" si="12">SUM(C69-C85)</f>
        <v>37201.079999999987</v>
      </c>
      <c r="D86" s="10">
        <f t="shared" si="12"/>
        <v>-8348.7699999999986</v>
      </c>
      <c r="E86" s="10">
        <f t="shared" si="12"/>
        <v>-450</v>
      </c>
      <c r="F86" s="10">
        <f t="shared" si="12"/>
        <v>-450</v>
      </c>
      <c r="G86" s="10">
        <f t="shared" si="12"/>
        <v>-450</v>
      </c>
      <c r="H86" s="10">
        <f t="shared" si="12"/>
        <v>-450</v>
      </c>
      <c r="I86" s="10">
        <f t="shared" si="12"/>
        <v>-450</v>
      </c>
      <c r="J86" s="10">
        <f t="shared" si="12"/>
        <v>-450</v>
      </c>
      <c r="K86" s="10">
        <f t="shared" si="12"/>
        <v>-450</v>
      </c>
      <c r="L86" s="10">
        <f t="shared" si="12"/>
        <v>-450</v>
      </c>
      <c r="M86" s="10">
        <f t="shared" si="12"/>
        <v>-450</v>
      </c>
      <c r="N86" s="10"/>
      <c r="O86" s="9">
        <f>SUM(B86:M86)</f>
        <v>171591.0500000001</v>
      </c>
    </row>
    <row r="87" spans="1:15" ht="15.75" customHeight="1" x14ac:dyDescent="0.3">
      <c r="A87" s="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5" ht="15.75" customHeight="1" x14ac:dyDescent="0.3">
      <c r="A88" s="7" t="s">
        <v>74</v>
      </c>
    </row>
    <row r="89" spans="1:15" ht="15.75" customHeight="1" x14ac:dyDescent="0.3">
      <c r="A89" s="2" t="s">
        <v>75</v>
      </c>
      <c r="B89" s="5">
        <v>9800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O89" s="5">
        <f t="shared" ref="O89:O90" si="13">SUM(B89:N89)</f>
        <v>9800</v>
      </c>
    </row>
    <row r="90" spans="1:15" ht="15.75" customHeight="1" x14ac:dyDescent="0.3">
      <c r="A90" s="2" t="s">
        <v>76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O90" s="5">
        <f t="shared" si="13"/>
        <v>0</v>
      </c>
    </row>
    <row r="91" spans="1:15" ht="15.75" customHeight="1" x14ac:dyDescent="0.3"/>
    <row r="92" spans="1:15" ht="15.75" customHeight="1" x14ac:dyDescent="0.3"/>
    <row r="93" spans="1:15" ht="15.75" customHeight="1" x14ac:dyDescent="0.3"/>
    <row r="94" spans="1:15" ht="15.75" customHeight="1" x14ac:dyDescent="0.3"/>
    <row r="95" spans="1:15" ht="15.75" customHeight="1" x14ac:dyDescent="0.3"/>
    <row r="96" spans="1:15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">
    <mergeCell ref="A1:M1"/>
  </mergeCells>
  <pageMargins left="0.7" right="0.7" top="0.75" bottom="0.75" header="0" footer="0"/>
  <pageSetup paperSize="9" scale="68" fitToHeight="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0"/>
  <sheetViews>
    <sheetView tabSelected="1" workbookViewId="0">
      <selection activeCell="E20" sqref="E20:F20"/>
    </sheetView>
  </sheetViews>
  <sheetFormatPr defaultColWidth="14.44140625" defaultRowHeight="15" customHeight="1" x14ac:dyDescent="0.3"/>
  <cols>
    <col min="1" max="1" width="42.33203125" customWidth="1"/>
    <col min="2" max="2" width="11.44140625" customWidth="1"/>
    <col min="3" max="4" width="10.33203125" customWidth="1"/>
    <col min="5" max="5" width="10.5546875" customWidth="1"/>
    <col min="6" max="6" width="10.33203125" customWidth="1"/>
    <col min="7" max="7" width="11" customWidth="1"/>
    <col min="8" max="8" width="10.33203125" customWidth="1"/>
    <col min="9" max="9" width="10.44140625" customWidth="1"/>
    <col min="10" max="10" width="11.33203125" customWidth="1"/>
    <col min="11" max="11" width="10.33203125" customWidth="1"/>
    <col min="12" max="12" width="11.33203125" customWidth="1"/>
    <col min="13" max="13" width="10.5546875" customWidth="1"/>
    <col min="14" max="14" width="5.6640625" customWidth="1"/>
    <col min="15" max="15" width="11.33203125" customWidth="1"/>
    <col min="16" max="16" width="6.88671875" customWidth="1"/>
  </cols>
  <sheetData>
    <row r="1" spans="1:16" ht="14.4" x14ac:dyDescent="0.3">
      <c r="A1" s="28" t="s">
        <v>143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N1" s="1"/>
      <c r="O1" s="1" t="s">
        <v>0</v>
      </c>
      <c r="P1" s="1" t="s">
        <v>77</v>
      </c>
    </row>
    <row r="2" spans="1:16" ht="14.4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</row>
    <row r="3" spans="1:16" ht="14.4" x14ac:dyDescent="0.3">
      <c r="A3" s="2" t="s">
        <v>15</v>
      </c>
      <c r="B3" s="4">
        <v>384928.7</v>
      </c>
      <c r="C3" s="4">
        <v>323317.09999999998</v>
      </c>
      <c r="D3" s="4"/>
      <c r="E3" s="4"/>
      <c r="F3" s="3"/>
      <c r="G3" s="3"/>
      <c r="H3" s="4"/>
      <c r="I3" s="4"/>
      <c r="J3" s="4"/>
      <c r="K3" s="4"/>
      <c r="L3" s="4"/>
      <c r="M3" s="4"/>
      <c r="O3" s="5">
        <f>SUM(B3:M3)</f>
        <v>708245.8</v>
      </c>
    </row>
    <row r="4" spans="1:16" ht="14.4" x14ac:dyDescent="0.3">
      <c r="C4" s="6"/>
      <c r="D4" s="6"/>
      <c r="E4" s="6"/>
      <c r="F4" s="6"/>
      <c r="G4" s="4"/>
      <c r="H4" s="6"/>
      <c r="I4" s="6"/>
      <c r="J4" s="4"/>
      <c r="L4" s="6"/>
    </row>
    <row r="5" spans="1:16" ht="14.4" x14ac:dyDescent="0.3">
      <c r="A5" s="7" t="s">
        <v>18</v>
      </c>
      <c r="B5" s="5">
        <f t="shared" ref="B5:M5" si="0">SUM(B3)</f>
        <v>384928.7</v>
      </c>
      <c r="C5" s="5">
        <f t="shared" si="0"/>
        <v>323317.09999999998</v>
      </c>
      <c r="D5" s="5">
        <f t="shared" si="0"/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/>
      <c r="O5" s="5">
        <f>SUM(B5:M5)</f>
        <v>708245.8</v>
      </c>
    </row>
    <row r="7" spans="1:16" ht="14.4" x14ac:dyDescent="0.3">
      <c r="A7" s="8" t="s">
        <v>23</v>
      </c>
      <c r="G7" s="5"/>
      <c r="H7" s="5"/>
    </row>
    <row r="8" spans="1:16" ht="14.4" x14ac:dyDescent="0.3">
      <c r="A8" s="2" t="s">
        <v>78</v>
      </c>
      <c r="B8" s="5">
        <v>157135.04999999999</v>
      </c>
      <c r="C8" s="5">
        <v>152622.22</v>
      </c>
      <c r="D8" s="5">
        <v>3175</v>
      </c>
      <c r="E8" s="5"/>
      <c r="F8" s="5"/>
      <c r="G8" s="5"/>
      <c r="H8" s="5"/>
      <c r="I8" s="5"/>
      <c r="J8" s="5"/>
      <c r="K8" s="5"/>
      <c r="L8" s="5"/>
      <c r="M8" s="5"/>
      <c r="O8" s="5">
        <f>SUM(B8:M8)</f>
        <v>312932.27</v>
      </c>
    </row>
    <row r="10" spans="1:16" ht="14.4" x14ac:dyDescent="0.3">
      <c r="A10" s="7" t="s">
        <v>38</v>
      </c>
      <c r="B10" s="10">
        <f t="shared" ref="B10:M10" si="1">SUM(B8)</f>
        <v>157135.04999999999</v>
      </c>
      <c r="C10" s="10">
        <f t="shared" si="1"/>
        <v>152622.22</v>
      </c>
      <c r="D10" s="10">
        <f t="shared" si="1"/>
        <v>3175</v>
      </c>
      <c r="E10" s="10">
        <f t="shared" si="1"/>
        <v>0</v>
      </c>
      <c r="F10" s="10">
        <f t="shared" si="1"/>
        <v>0</v>
      </c>
      <c r="G10" s="10">
        <f t="shared" si="1"/>
        <v>0</v>
      </c>
      <c r="H10" s="10">
        <f t="shared" si="1"/>
        <v>0</v>
      </c>
      <c r="I10" s="10">
        <f t="shared" si="1"/>
        <v>0</v>
      </c>
      <c r="J10" s="10">
        <f t="shared" si="1"/>
        <v>0</v>
      </c>
      <c r="K10" s="10">
        <f t="shared" si="1"/>
        <v>0</v>
      </c>
      <c r="L10" s="10">
        <f t="shared" si="1"/>
        <v>0</v>
      </c>
      <c r="M10" s="10">
        <f t="shared" si="1"/>
        <v>0</v>
      </c>
      <c r="N10" s="10"/>
      <c r="O10" s="9">
        <f>SUM(B10:K10)</f>
        <v>312932.27</v>
      </c>
    </row>
    <row r="11" spans="1:16" ht="14.4" x14ac:dyDescent="0.3">
      <c r="A11" s="7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9"/>
    </row>
    <row r="12" spans="1:16" ht="14.4" x14ac:dyDescent="0.3">
      <c r="A12" s="7" t="s">
        <v>79</v>
      </c>
      <c r="B12" s="10">
        <f t="shared" ref="B12:M12" si="2">SUM(B5-B10)</f>
        <v>227793.65000000002</v>
      </c>
      <c r="C12" s="10">
        <f t="shared" si="2"/>
        <v>170694.87999999998</v>
      </c>
      <c r="D12" s="10">
        <f t="shared" si="2"/>
        <v>-3175</v>
      </c>
      <c r="E12" s="10">
        <f t="shared" si="2"/>
        <v>0</v>
      </c>
      <c r="F12" s="10">
        <f t="shared" si="2"/>
        <v>0</v>
      </c>
      <c r="G12" s="10">
        <f t="shared" si="2"/>
        <v>0</v>
      </c>
      <c r="H12" s="10">
        <f t="shared" si="2"/>
        <v>0</v>
      </c>
      <c r="I12" s="10">
        <f t="shared" si="2"/>
        <v>0</v>
      </c>
      <c r="J12" s="10">
        <f t="shared" si="2"/>
        <v>0</v>
      </c>
      <c r="K12" s="10">
        <f t="shared" si="2"/>
        <v>0</v>
      </c>
      <c r="L12" s="10">
        <f t="shared" si="2"/>
        <v>0</v>
      </c>
      <c r="M12" s="10">
        <f t="shared" si="2"/>
        <v>0</v>
      </c>
      <c r="N12" s="10"/>
      <c r="O12" s="9">
        <f>SUM(B12:K12)</f>
        <v>395313.53</v>
      </c>
    </row>
    <row r="13" spans="1:16" ht="14.4" x14ac:dyDescent="0.3">
      <c r="A13" s="7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9"/>
    </row>
    <row r="14" spans="1:16" ht="14.4" x14ac:dyDescent="0.3">
      <c r="A14" s="19" t="s">
        <v>80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6" ht="14.4" x14ac:dyDescent="0.3">
      <c r="A15" s="2" t="s">
        <v>81</v>
      </c>
      <c r="B15" s="5">
        <v>19000</v>
      </c>
      <c r="C15" s="5">
        <v>19000</v>
      </c>
      <c r="D15" s="5"/>
      <c r="E15" s="5"/>
      <c r="F15" s="5"/>
      <c r="G15" s="5"/>
      <c r="H15" s="5"/>
      <c r="I15" s="5"/>
      <c r="J15" s="5"/>
      <c r="K15" s="5"/>
      <c r="L15" s="5"/>
      <c r="M15" s="5"/>
      <c r="O15" s="5">
        <f t="shared" ref="O15:O28" si="3">SUM(B15:M15)</f>
        <v>38000</v>
      </c>
      <c r="P15" s="2" t="s">
        <v>82</v>
      </c>
    </row>
    <row r="16" spans="1:16" ht="14.4" x14ac:dyDescent="0.3">
      <c r="A16" s="2" t="s">
        <v>40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O16" s="5">
        <f t="shared" si="3"/>
        <v>0</v>
      </c>
      <c r="P16" s="2" t="s">
        <v>82</v>
      </c>
    </row>
    <row r="17" spans="1:18" ht="14.4" x14ac:dyDescent="0.3">
      <c r="A17" s="2" t="s">
        <v>41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O17" s="5">
        <f t="shared" si="3"/>
        <v>0</v>
      </c>
      <c r="P17" s="20" t="s">
        <v>82</v>
      </c>
    </row>
    <row r="18" spans="1:18" ht="14.4" x14ac:dyDescent="0.3">
      <c r="A18" s="2" t="s">
        <v>83</v>
      </c>
      <c r="B18" s="5">
        <v>2753.14</v>
      </c>
      <c r="C18" s="5">
        <v>2448.98</v>
      </c>
      <c r="D18" s="5"/>
      <c r="E18" s="5"/>
      <c r="F18" s="5"/>
      <c r="G18" s="5"/>
      <c r="H18" s="5"/>
      <c r="I18" s="5"/>
      <c r="J18" s="5"/>
      <c r="K18" s="5"/>
      <c r="L18" s="5"/>
      <c r="M18" s="5"/>
      <c r="O18" s="5">
        <f t="shared" si="3"/>
        <v>5202.12</v>
      </c>
      <c r="P18" s="21" t="s">
        <v>84</v>
      </c>
    </row>
    <row r="19" spans="1:18" ht="14.4" x14ac:dyDescent="0.3">
      <c r="A19" s="2" t="s">
        <v>85</v>
      </c>
      <c r="B19" s="5">
        <v>8456.5499999999993</v>
      </c>
      <c r="C19" s="5">
        <v>8456.5499999999993</v>
      </c>
      <c r="D19" s="5"/>
      <c r="E19" s="5"/>
      <c r="F19" s="5"/>
      <c r="G19" s="5"/>
      <c r="H19" s="5"/>
      <c r="I19" s="5"/>
      <c r="J19" s="5"/>
      <c r="K19" s="5"/>
      <c r="L19" s="5"/>
      <c r="M19" s="5"/>
      <c r="O19" s="5">
        <f t="shared" si="3"/>
        <v>16913.099999999999</v>
      </c>
      <c r="P19" s="21" t="s">
        <v>84</v>
      </c>
    </row>
    <row r="20" spans="1:18" ht="15.75" customHeight="1" x14ac:dyDescent="0.3">
      <c r="A20" s="2" t="s">
        <v>45</v>
      </c>
      <c r="B20" s="5">
        <v>471.7</v>
      </c>
      <c r="C20" s="5">
        <v>471.7</v>
      </c>
      <c r="D20" s="5"/>
      <c r="E20" s="5"/>
      <c r="F20" s="5"/>
      <c r="G20" s="5"/>
      <c r="H20" s="5"/>
      <c r="I20" s="5"/>
      <c r="J20" s="5"/>
      <c r="K20" s="5"/>
      <c r="L20" s="5"/>
      <c r="M20" s="5"/>
      <c r="O20" s="5">
        <f t="shared" si="3"/>
        <v>943.4</v>
      </c>
      <c r="P20" s="2" t="s">
        <v>82</v>
      </c>
    </row>
    <row r="21" spans="1:18" ht="15.75" customHeight="1" x14ac:dyDescent="0.3">
      <c r="A21" s="2" t="s">
        <v>86</v>
      </c>
      <c r="B21" s="5">
        <v>10560.82</v>
      </c>
      <c r="C21" s="5">
        <v>10560.82</v>
      </c>
      <c r="D21" s="5"/>
      <c r="E21" s="5"/>
      <c r="F21" s="5"/>
      <c r="G21" s="5"/>
      <c r="H21" s="5"/>
      <c r="I21" s="5"/>
      <c r="J21" s="5"/>
      <c r="K21" s="5"/>
      <c r="L21" s="5"/>
      <c r="M21" s="5"/>
      <c r="O21" s="5">
        <f t="shared" si="3"/>
        <v>21121.64</v>
      </c>
    </row>
    <row r="22" spans="1:18" ht="15.75" customHeight="1" x14ac:dyDescent="0.3">
      <c r="A22" s="2" t="s">
        <v>87</v>
      </c>
      <c r="B22" s="5">
        <v>472.24</v>
      </c>
      <c r="C22" s="5">
        <v>415.96</v>
      </c>
      <c r="D22" s="5"/>
      <c r="E22" s="5"/>
      <c r="F22" s="5"/>
      <c r="G22" s="5"/>
      <c r="H22" s="5"/>
      <c r="I22" s="5"/>
      <c r="J22" s="5"/>
      <c r="K22" s="5"/>
      <c r="L22" s="5"/>
      <c r="M22" s="5"/>
      <c r="O22" s="5">
        <f t="shared" si="3"/>
        <v>888.2</v>
      </c>
      <c r="P22" s="2" t="s">
        <v>82</v>
      </c>
    </row>
    <row r="23" spans="1:18" ht="15.75" customHeight="1" x14ac:dyDescent="0.3">
      <c r="A23" s="2" t="s">
        <v>88</v>
      </c>
      <c r="B23" s="5">
        <v>1020.69</v>
      </c>
      <c r="C23" s="5">
        <v>1137.78</v>
      </c>
      <c r="D23" s="5"/>
      <c r="E23" s="5"/>
      <c r="F23" s="5"/>
      <c r="G23" s="5"/>
      <c r="H23" s="5"/>
      <c r="I23" s="5"/>
      <c r="J23" s="5"/>
      <c r="K23" s="5"/>
      <c r="L23" s="5"/>
      <c r="M23" s="5"/>
      <c r="O23" s="5">
        <f t="shared" si="3"/>
        <v>2158.4700000000003</v>
      </c>
      <c r="P23" s="21" t="s">
        <v>84</v>
      </c>
    </row>
    <row r="24" spans="1:18" ht="15.75" customHeight="1" x14ac:dyDescent="0.3">
      <c r="A24" s="2" t="s">
        <v>49</v>
      </c>
      <c r="B24" s="5">
        <v>1582.38</v>
      </c>
      <c r="C24" s="5">
        <v>1582.38</v>
      </c>
      <c r="D24" s="5"/>
      <c r="E24" s="5"/>
      <c r="F24" s="5"/>
      <c r="G24" s="5"/>
      <c r="H24" s="5"/>
      <c r="I24" s="5"/>
      <c r="J24" s="5"/>
      <c r="K24" s="5"/>
      <c r="L24" s="5"/>
      <c r="M24" s="5"/>
      <c r="O24" s="5">
        <f t="shared" si="3"/>
        <v>3164.76</v>
      </c>
      <c r="P24" s="2" t="s">
        <v>84</v>
      </c>
    </row>
    <row r="25" spans="1:18" ht="15.75" customHeight="1" x14ac:dyDescent="0.3">
      <c r="A25" s="2" t="s">
        <v>89</v>
      </c>
      <c r="B25" s="5">
        <v>2186.5300000000002</v>
      </c>
      <c r="C25" s="5">
        <v>2552.38</v>
      </c>
      <c r="D25" s="5">
        <v>2482.4499999999998</v>
      </c>
      <c r="E25" s="5"/>
      <c r="F25" s="5"/>
      <c r="G25" s="5"/>
      <c r="H25" s="5"/>
      <c r="I25" s="5"/>
      <c r="J25" s="5"/>
      <c r="K25" s="5"/>
      <c r="L25" s="5"/>
      <c r="M25" s="5"/>
      <c r="O25" s="5">
        <f t="shared" si="3"/>
        <v>7221.36</v>
      </c>
      <c r="P25" s="21"/>
    </row>
    <row r="26" spans="1:18" ht="15.75" customHeight="1" x14ac:dyDescent="0.3">
      <c r="A26" s="2" t="s">
        <v>90</v>
      </c>
      <c r="B26" s="5">
        <v>78557.81</v>
      </c>
      <c r="C26" s="5">
        <v>71372.240000000005</v>
      </c>
      <c r="D26" s="5"/>
      <c r="E26" s="5"/>
      <c r="F26" s="5"/>
      <c r="G26" s="5"/>
      <c r="H26" s="5"/>
      <c r="I26" s="5"/>
      <c r="J26" s="4"/>
      <c r="K26" s="5"/>
      <c r="L26" s="5"/>
      <c r="M26" s="5"/>
      <c r="O26" s="5">
        <f t="shared" si="3"/>
        <v>149930.04999999999</v>
      </c>
      <c r="R26" s="2"/>
    </row>
    <row r="27" spans="1:18" ht="15.75" customHeight="1" x14ac:dyDescent="0.3">
      <c r="A27" s="2" t="s">
        <v>91</v>
      </c>
      <c r="B27" s="5">
        <v>3350</v>
      </c>
      <c r="C27" s="5">
        <v>8650</v>
      </c>
      <c r="D27" s="5"/>
      <c r="E27" s="5"/>
      <c r="F27" s="5"/>
      <c r="G27" s="5"/>
      <c r="H27" s="5"/>
      <c r="I27" s="5"/>
      <c r="J27" s="5"/>
      <c r="K27" s="5"/>
      <c r="L27" s="5"/>
      <c r="M27" s="5"/>
      <c r="O27" s="5">
        <f t="shared" si="3"/>
        <v>12000</v>
      </c>
      <c r="R27" s="2"/>
    </row>
    <row r="28" spans="1:18" ht="15.75" customHeight="1" x14ac:dyDescent="0.3">
      <c r="A28" s="2" t="s">
        <v>92</v>
      </c>
      <c r="B28" s="5">
        <v>6210.7</v>
      </c>
      <c r="C28" s="5">
        <v>4100</v>
      </c>
      <c r="D28" s="5"/>
      <c r="E28" s="5"/>
      <c r="F28" s="5"/>
      <c r="G28" s="5"/>
      <c r="H28" s="5"/>
      <c r="I28" s="5"/>
      <c r="J28" s="5"/>
      <c r="K28" s="5"/>
      <c r="L28" s="5"/>
      <c r="M28" s="5"/>
      <c r="O28" s="5">
        <f t="shared" si="3"/>
        <v>10310.700000000001</v>
      </c>
      <c r="R28" s="2"/>
    </row>
    <row r="29" spans="1:18" ht="15.75" customHeight="1" x14ac:dyDescent="0.3">
      <c r="H29" s="11"/>
      <c r="O29" s="5"/>
    </row>
    <row r="30" spans="1:18" ht="15.75" customHeight="1" x14ac:dyDescent="0.3">
      <c r="A30" s="8" t="s">
        <v>56</v>
      </c>
      <c r="H30" s="11"/>
      <c r="O30" s="5"/>
    </row>
    <row r="31" spans="1:18" ht="15.75" customHeight="1" x14ac:dyDescent="0.3">
      <c r="A31" s="2" t="s">
        <v>57</v>
      </c>
      <c r="B31" s="5">
        <v>1125</v>
      </c>
      <c r="C31" s="5">
        <v>1125</v>
      </c>
      <c r="D31" s="5"/>
      <c r="E31" s="5"/>
      <c r="F31" s="5"/>
      <c r="G31" s="5"/>
      <c r="H31" s="5"/>
      <c r="I31" s="5"/>
      <c r="J31" s="5"/>
      <c r="K31" s="5"/>
      <c r="L31" s="5"/>
      <c r="M31" s="5"/>
      <c r="O31" s="5">
        <f t="shared" ref="O31:O36" si="4">SUM(B31:M31)</f>
        <v>2250</v>
      </c>
      <c r="P31" s="2"/>
    </row>
    <row r="32" spans="1:18" ht="15.75" customHeight="1" x14ac:dyDescent="0.3">
      <c r="A32" s="2" t="s">
        <v>58</v>
      </c>
      <c r="B32" s="5">
        <v>0</v>
      </c>
      <c r="C32" s="5">
        <v>0</v>
      </c>
      <c r="D32" s="5"/>
      <c r="E32" s="5"/>
      <c r="F32" s="5"/>
      <c r="G32" s="5"/>
      <c r="H32" s="5"/>
      <c r="I32" s="5"/>
      <c r="J32" s="5"/>
      <c r="K32" s="5"/>
      <c r="L32" s="5"/>
      <c r="M32" s="5"/>
      <c r="O32" s="5">
        <f t="shared" si="4"/>
        <v>0</v>
      </c>
      <c r="P32" s="2" t="s">
        <v>84</v>
      </c>
    </row>
    <row r="33" spans="1:16" ht="15.75" customHeight="1" x14ac:dyDescent="0.3">
      <c r="A33" s="2" t="s">
        <v>93</v>
      </c>
      <c r="B33" s="5">
        <v>0</v>
      </c>
      <c r="C33" s="5">
        <v>8228.74</v>
      </c>
      <c r="D33" s="5"/>
      <c r="E33" s="5"/>
      <c r="F33" s="5"/>
      <c r="G33" s="5"/>
      <c r="H33" s="5"/>
      <c r="I33" s="5"/>
      <c r="J33" s="5"/>
      <c r="K33" s="5"/>
      <c r="L33" s="5"/>
      <c r="M33" s="5"/>
      <c r="O33" s="5">
        <f t="shared" si="4"/>
        <v>8228.74</v>
      </c>
    </row>
    <row r="34" spans="1:16" ht="15.75" customHeight="1" x14ac:dyDescent="0.3">
      <c r="A34" s="2" t="s">
        <v>60</v>
      </c>
      <c r="B34" s="5">
        <v>3076.47</v>
      </c>
      <c r="C34" s="5">
        <v>3123.54</v>
      </c>
      <c r="D34" s="5"/>
      <c r="E34" s="5"/>
      <c r="F34" s="5"/>
      <c r="G34" s="5"/>
      <c r="H34" s="5"/>
      <c r="I34" s="5"/>
      <c r="J34" s="5"/>
      <c r="K34" s="5"/>
      <c r="L34" s="5"/>
      <c r="M34" s="5"/>
      <c r="O34" s="5">
        <f t="shared" si="4"/>
        <v>6200.01</v>
      </c>
      <c r="P34" s="2"/>
    </row>
    <row r="35" spans="1:16" ht="15.75" customHeight="1" x14ac:dyDescent="0.3">
      <c r="A35" s="2" t="s">
        <v>94</v>
      </c>
      <c r="B35" s="5">
        <v>4895.1499999999996</v>
      </c>
      <c r="C35" s="5">
        <v>9831.6</v>
      </c>
      <c r="D35" s="5"/>
      <c r="E35" s="5"/>
      <c r="F35" s="5"/>
      <c r="G35" s="5"/>
      <c r="H35" s="5"/>
      <c r="I35" s="5"/>
      <c r="J35" s="5"/>
      <c r="K35" s="5"/>
      <c r="L35" s="5"/>
      <c r="M35" s="5"/>
      <c r="O35" s="5">
        <f t="shared" si="4"/>
        <v>14726.75</v>
      </c>
      <c r="P35" s="2" t="s">
        <v>84</v>
      </c>
    </row>
    <row r="36" spans="1:16" ht="15.75" customHeight="1" x14ac:dyDescent="0.3">
      <c r="A36" s="2" t="s">
        <v>95</v>
      </c>
      <c r="B36" s="5">
        <v>11579.05</v>
      </c>
      <c r="C36" s="5">
        <v>100</v>
      </c>
      <c r="D36" s="5"/>
      <c r="E36" s="5"/>
      <c r="F36" s="5"/>
      <c r="G36" s="5"/>
      <c r="H36" s="5"/>
      <c r="I36" s="5"/>
      <c r="J36" s="5"/>
      <c r="K36" s="5"/>
      <c r="L36" s="5"/>
      <c r="M36" s="5"/>
      <c r="O36" s="5">
        <f t="shared" si="4"/>
        <v>11679.05</v>
      </c>
      <c r="P36" s="2"/>
    </row>
    <row r="37" spans="1:16" ht="15.75" customHeight="1" x14ac:dyDescent="0.3">
      <c r="B37" s="5"/>
      <c r="C37" s="5"/>
      <c r="F37" s="5"/>
      <c r="G37" s="5"/>
      <c r="H37" s="5"/>
      <c r="I37" s="5"/>
      <c r="J37" s="5"/>
      <c r="L37" s="5"/>
    </row>
    <row r="38" spans="1:16" ht="15.75" customHeight="1" x14ac:dyDescent="0.3">
      <c r="A38" s="7" t="s">
        <v>63</v>
      </c>
      <c r="B38" s="10">
        <f t="shared" ref="B38:M38" si="5">SUM(B15:B36)</f>
        <v>155298.22999999998</v>
      </c>
      <c r="C38" s="10">
        <f t="shared" si="5"/>
        <v>153157.67000000001</v>
      </c>
      <c r="D38" s="10">
        <f t="shared" si="5"/>
        <v>2482.4499999999998</v>
      </c>
      <c r="E38" s="10">
        <f t="shared" si="5"/>
        <v>0</v>
      </c>
      <c r="F38" s="10">
        <f t="shared" si="5"/>
        <v>0</v>
      </c>
      <c r="G38" s="10">
        <f t="shared" si="5"/>
        <v>0</v>
      </c>
      <c r="H38" s="10">
        <f t="shared" si="5"/>
        <v>0</v>
      </c>
      <c r="I38" s="10">
        <f t="shared" si="5"/>
        <v>0</v>
      </c>
      <c r="J38" s="10">
        <f t="shared" si="5"/>
        <v>0</v>
      </c>
      <c r="K38" s="10">
        <f t="shared" si="5"/>
        <v>0</v>
      </c>
      <c r="L38" s="10">
        <f t="shared" si="5"/>
        <v>0</v>
      </c>
      <c r="M38" s="10">
        <f t="shared" si="5"/>
        <v>0</v>
      </c>
      <c r="N38" s="10"/>
      <c r="O38" s="9">
        <f>SUM(B38:K38)</f>
        <v>310938.35000000003</v>
      </c>
    </row>
    <row r="39" spans="1:16" ht="15.75" customHeight="1" x14ac:dyDescent="0.3">
      <c r="B39" s="5"/>
      <c r="F39" s="5"/>
      <c r="G39" s="5"/>
      <c r="H39" s="5"/>
      <c r="I39" s="5"/>
    </row>
    <row r="40" spans="1:16" ht="15.75" customHeight="1" x14ac:dyDescent="0.3">
      <c r="A40" s="7" t="s">
        <v>64</v>
      </c>
      <c r="B40" s="12">
        <f t="shared" ref="B40:M40" si="6">SUM(B12-B38)</f>
        <v>72495.420000000042</v>
      </c>
      <c r="C40" s="12">
        <f t="shared" si="6"/>
        <v>17537.209999999963</v>
      </c>
      <c r="D40" s="12">
        <f t="shared" si="6"/>
        <v>-5657.45</v>
      </c>
      <c r="E40" s="12">
        <f t="shared" si="6"/>
        <v>0</v>
      </c>
      <c r="F40" s="12">
        <f t="shared" si="6"/>
        <v>0</v>
      </c>
      <c r="G40" s="12">
        <f t="shared" si="6"/>
        <v>0</v>
      </c>
      <c r="H40" s="12">
        <f t="shared" si="6"/>
        <v>0</v>
      </c>
      <c r="I40" s="12">
        <f t="shared" si="6"/>
        <v>0</v>
      </c>
      <c r="J40" s="12">
        <f t="shared" si="6"/>
        <v>0</v>
      </c>
      <c r="K40" s="12">
        <f t="shared" si="6"/>
        <v>0</v>
      </c>
      <c r="L40" s="12">
        <f t="shared" si="6"/>
        <v>0</v>
      </c>
      <c r="M40" s="12">
        <f t="shared" si="6"/>
        <v>0</v>
      </c>
      <c r="N40" s="5"/>
      <c r="O40" s="9">
        <f>SUM(B40:K40)</f>
        <v>84375.180000000008</v>
      </c>
    </row>
    <row r="41" spans="1:16" ht="15.75" customHeight="1" x14ac:dyDescent="0.3"/>
    <row r="42" spans="1:16" ht="15.75" customHeight="1" x14ac:dyDescent="0.3">
      <c r="A42" s="7" t="s">
        <v>65</v>
      </c>
    </row>
    <row r="43" spans="1:16" ht="15.75" customHeight="1" x14ac:dyDescent="0.3">
      <c r="A43" s="7"/>
    </row>
    <row r="44" spans="1:16" ht="15.75" customHeight="1" x14ac:dyDescent="0.3">
      <c r="A44" s="2" t="s">
        <v>66</v>
      </c>
      <c r="B44" s="5">
        <v>355.51</v>
      </c>
      <c r="C44" s="2">
        <v>360.95</v>
      </c>
      <c r="D44" s="2"/>
      <c r="E44" s="2"/>
      <c r="F44" s="2"/>
      <c r="G44" s="5"/>
      <c r="H44" s="5"/>
      <c r="I44" s="5"/>
      <c r="J44" s="5"/>
      <c r="K44" s="5"/>
      <c r="L44" s="5"/>
      <c r="M44" s="5"/>
      <c r="O44" s="5">
        <f>SUM(B44:M44)</f>
        <v>716.46</v>
      </c>
    </row>
    <row r="45" spans="1:16" ht="15.75" customHeight="1" x14ac:dyDescent="0.3">
      <c r="A45" s="13"/>
      <c r="I45" s="5"/>
    </row>
    <row r="46" spans="1:16" ht="15.75" customHeight="1" x14ac:dyDescent="0.3">
      <c r="A46" s="2" t="s">
        <v>67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/>
      <c r="M46" s="5"/>
      <c r="O46" s="5">
        <f>SUM(B46:N46)</f>
        <v>0</v>
      </c>
    </row>
    <row r="47" spans="1:16" ht="15.75" customHeight="1" x14ac:dyDescent="0.3">
      <c r="A47" s="14"/>
      <c r="B47" s="15"/>
      <c r="C47" s="15"/>
      <c r="D47" s="15"/>
      <c r="E47" s="15"/>
      <c r="F47" s="15"/>
      <c r="G47" s="15"/>
      <c r="H47" s="5"/>
      <c r="I47" s="5"/>
      <c r="J47" s="5"/>
      <c r="K47" s="5"/>
      <c r="L47" s="5"/>
      <c r="M47" s="5"/>
    </row>
    <row r="48" spans="1:16" ht="15.75" customHeight="1" x14ac:dyDescent="0.3">
      <c r="A48" s="8" t="s">
        <v>70</v>
      </c>
      <c r="H48" s="11"/>
      <c r="I48" s="5"/>
    </row>
    <row r="49" spans="1:16" ht="15.75" customHeight="1" x14ac:dyDescent="0.3">
      <c r="A49" s="2" t="s">
        <v>72</v>
      </c>
      <c r="B49" s="5">
        <v>70357.88</v>
      </c>
      <c r="C49" s="5">
        <v>60941.65</v>
      </c>
      <c r="D49" s="5"/>
      <c r="E49" s="5"/>
      <c r="F49" s="5"/>
      <c r="G49" s="5"/>
      <c r="H49" s="5"/>
      <c r="I49" s="5"/>
      <c r="J49" s="5"/>
      <c r="K49" s="5"/>
      <c r="L49" s="5"/>
      <c r="M49" s="5"/>
      <c r="O49" s="5"/>
      <c r="P49" s="2"/>
    </row>
    <row r="50" spans="1:16" ht="15.75" hidden="1" customHeight="1" x14ac:dyDescent="0.3">
      <c r="A50" s="2"/>
      <c r="B50" s="5">
        <f t="shared" ref="B50:M50" si="7">SUM(B43:B49)</f>
        <v>70713.39</v>
      </c>
      <c r="C50" s="5">
        <f t="shared" si="7"/>
        <v>61302.6</v>
      </c>
      <c r="D50" s="5">
        <f t="shared" si="7"/>
        <v>0</v>
      </c>
      <c r="E50" s="5">
        <f t="shared" si="7"/>
        <v>0</v>
      </c>
      <c r="F50" s="5">
        <f t="shared" si="7"/>
        <v>0</v>
      </c>
      <c r="G50" s="5">
        <f t="shared" si="7"/>
        <v>0</v>
      </c>
      <c r="H50" s="5">
        <f t="shared" si="7"/>
        <v>0</v>
      </c>
      <c r="I50" s="5">
        <f t="shared" si="7"/>
        <v>0</v>
      </c>
      <c r="J50" s="5">
        <f t="shared" si="7"/>
        <v>0</v>
      </c>
      <c r="K50" s="5">
        <f t="shared" si="7"/>
        <v>0</v>
      </c>
      <c r="L50" s="5">
        <f t="shared" si="7"/>
        <v>0</v>
      </c>
      <c r="M50" s="5">
        <f t="shared" si="7"/>
        <v>0</v>
      </c>
      <c r="O50" s="5"/>
      <c r="P50" s="2"/>
    </row>
    <row r="51" spans="1:16" ht="15.75" customHeight="1" x14ac:dyDescent="0.3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O51" s="5"/>
      <c r="P51" s="2"/>
    </row>
    <row r="52" spans="1:16" ht="15.75" customHeight="1" x14ac:dyDescent="0.3">
      <c r="A52" s="7" t="s">
        <v>96</v>
      </c>
      <c r="B52" s="10">
        <f t="shared" ref="B52:M52" si="8">SUM(B40-B50)</f>
        <v>1782.0300000000425</v>
      </c>
      <c r="C52" s="10">
        <f t="shared" si="8"/>
        <v>-43765.390000000036</v>
      </c>
      <c r="D52" s="10">
        <v>0</v>
      </c>
      <c r="E52" s="10">
        <f t="shared" si="8"/>
        <v>0</v>
      </c>
      <c r="F52" s="10">
        <f t="shared" si="8"/>
        <v>0</v>
      </c>
      <c r="G52" s="10">
        <f t="shared" si="8"/>
        <v>0</v>
      </c>
      <c r="H52" s="10">
        <f t="shared" si="8"/>
        <v>0</v>
      </c>
      <c r="I52" s="10">
        <f t="shared" si="8"/>
        <v>0</v>
      </c>
      <c r="J52" s="10">
        <f t="shared" si="8"/>
        <v>0</v>
      </c>
      <c r="K52" s="10">
        <f t="shared" si="8"/>
        <v>0</v>
      </c>
      <c r="L52" s="10">
        <f t="shared" si="8"/>
        <v>0</v>
      </c>
      <c r="M52" s="10">
        <f t="shared" si="8"/>
        <v>0</v>
      </c>
      <c r="N52" s="10"/>
      <c r="O52" s="9">
        <f>SUM(B52:M52)</f>
        <v>-41983.359999999993</v>
      </c>
    </row>
    <row r="53" spans="1:16" ht="15.75" customHeight="1" x14ac:dyDescent="0.3">
      <c r="A53" s="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6" ht="15.75" customHeight="1" x14ac:dyDescent="0.3">
      <c r="A54" s="2" t="s">
        <v>97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O54" s="5">
        <f>SUM(B54:K54)</f>
        <v>0</v>
      </c>
    </row>
    <row r="55" spans="1:16" ht="15.75" customHeight="1" x14ac:dyDescent="0.3">
      <c r="A55" s="2" t="s">
        <v>98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O55" s="5">
        <v>0</v>
      </c>
    </row>
    <row r="56" spans="1:16" ht="15.75" customHeight="1" x14ac:dyDescent="0.3"/>
    <row r="57" spans="1:16" ht="15.75" customHeight="1" x14ac:dyDescent="0.3"/>
    <row r="58" spans="1:16" ht="15.75" customHeight="1" x14ac:dyDescent="0.3"/>
    <row r="59" spans="1:16" ht="15.75" customHeight="1" x14ac:dyDescent="0.3"/>
    <row r="60" spans="1:16" ht="15.75" customHeight="1" x14ac:dyDescent="0.3"/>
    <row r="61" spans="1:16" ht="15.75" customHeight="1" x14ac:dyDescent="0.3"/>
    <row r="62" spans="1:16" ht="15.75" customHeight="1" x14ac:dyDescent="0.3"/>
    <row r="63" spans="1:16" ht="15.75" customHeight="1" x14ac:dyDescent="0.3"/>
    <row r="64" spans="1:1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K1"/>
  </mergeCells>
  <pageMargins left="0.7" right="0.7" top="0.75" bottom="0.75" header="0" footer="0"/>
  <pageSetup paperSize="9" scale="59" fitToWidth="0" orientation="landscape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4"/>
  <sheetViews>
    <sheetView topLeftCell="A15" workbookViewId="0">
      <selection activeCell="D33" sqref="D33"/>
    </sheetView>
  </sheetViews>
  <sheetFormatPr defaultColWidth="14.44140625" defaultRowHeight="15" customHeight="1" x14ac:dyDescent="0.3"/>
  <cols>
    <col min="1" max="1" width="41.44140625" customWidth="1"/>
    <col min="2" max="2" width="11.44140625" customWidth="1"/>
    <col min="3" max="4" width="10.33203125" customWidth="1"/>
    <col min="5" max="5" width="10.5546875" customWidth="1"/>
    <col min="6" max="6" width="10.33203125" customWidth="1"/>
    <col min="7" max="7" width="11" customWidth="1"/>
    <col min="8" max="8" width="10.33203125" customWidth="1"/>
    <col min="9" max="9" width="10.44140625" customWidth="1"/>
    <col min="10" max="10" width="11.33203125" customWidth="1"/>
    <col min="11" max="11" width="10.33203125" customWidth="1"/>
    <col min="12" max="12" width="10.88671875" customWidth="1"/>
    <col min="13" max="14" width="10.44140625" customWidth="1"/>
    <col min="15" max="15" width="11.33203125" customWidth="1"/>
  </cols>
  <sheetData>
    <row r="1" spans="1:15" ht="14.4" x14ac:dyDescent="0.3">
      <c r="A1" s="28" t="s">
        <v>142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1"/>
      <c r="O1" s="1" t="s">
        <v>0</v>
      </c>
    </row>
    <row r="2" spans="1:15" ht="14.4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</row>
    <row r="3" spans="1:15" ht="14.4" x14ac:dyDescent="0.3">
      <c r="A3" s="2" t="s">
        <v>13</v>
      </c>
      <c r="B3" s="3">
        <v>700620.91</v>
      </c>
      <c r="C3" s="4">
        <v>510832.04</v>
      </c>
      <c r="D3" s="4"/>
      <c r="E3" s="4"/>
      <c r="F3" s="4"/>
      <c r="G3" s="4"/>
      <c r="H3" s="4"/>
      <c r="I3" s="4"/>
      <c r="J3" s="3"/>
      <c r="K3" s="4"/>
      <c r="L3" s="4"/>
      <c r="M3" s="4"/>
      <c r="O3" s="5">
        <f>SUM(B3:M3)</f>
        <v>1211452.95</v>
      </c>
    </row>
    <row r="4" spans="1:15" ht="14.4" x14ac:dyDescent="0.3">
      <c r="B4" s="3"/>
      <c r="C4" s="6"/>
      <c r="D4" s="6"/>
      <c r="E4" s="6"/>
      <c r="F4" s="6"/>
      <c r="G4" s="6"/>
      <c r="H4" s="6"/>
      <c r="I4" s="6"/>
      <c r="J4" s="6"/>
    </row>
    <row r="5" spans="1:15" ht="14.4" x14ac:dyDescent="0.3">
      <c r="A5" s="7" t="s">
        <v>22</v>
      </c>
      <c r="B5" s="22">
        <f t="shared" ref="B5:M5" si="0">SUM(B3)</f>
        <v>700620.91</v>
      </c>
      <c r="C5" s="9">
        <f t="shared" si="0"/>
        <v>510832.04</v>
      </c>
      <c r="D5" s="9">
        <f t="shared" si="0"/>
        <v>0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22">
        <f t="shared" si="0"/>
        <v>0</v>
      </c>
      <c r="K5" s="9">
        <f t="shared" si="0"/>
        <v>0</v>
      </c>
      <c r="L5" s="9">
        <f t="shared" si="0"/>
        <v>0</v>
      </c>
      <c r="M5" s="9">
        <f t="shared" si="0"/>
        <v>0</v>
      </c>
      <c r="N5" s="9"/>
      <c r="O5" s="9">
        <f>SUM(B5:M5)</f>
        <v>1211452.95</v>
      </c>
    </row>
    <row r="7" spans="1:15" ht="14.4" x14ac:dyDescent="0.3">
      <c r="A7" s="8" t="s">
        <v>23</v>
      </c>
      <c r="G7" s="5"/>
      <c r="H7" s="5"/>
    </row>
    <row r="8" spans="1:15" ht="14.4" x14ac:dyDescent="0.3">
      <c r="A8" s="2" t="s">
        <v>24</v>
      </c>
      <c r="B8" s="5">
        <v>7214.37</v>
      </c>
      <c r="C8" s="5">
        <v>8083.68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5" ht="14.4" x14ac:dyDescent="0.3">
      <c r="A9" s="2" t="s">
        <v>25</v>
      </c>
      <c r="B9" s="5">
        <v>0</v>
      </c>
      <c r="C9" s="5">
        <v>611.14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1:15" ht="14.4" x14ac:dyDescent="0.3">
      <c r="A10" s="2" t="s">
        <v>26</v>
      </c>
      <c r="B10" s="5">
        <v>2368.4699999999998</v>
      </c>
      <c r="C10" s="5">
        <v>2368.54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5" ht="14.4" x14ac:dyDescent="0.3">
      <c r="A11" s="2" t="s">
        <v>99</v>
      </c>
      <c r="B11" s="5">
        <v>889</v>
      </c>
      <c r="C11" s="5">
        <v>889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5" ht="14.4" x14ac:dyDescent="0.3">
      <c r="A12" s="2" t="s">
        <v>28</v>
      </c>
      <c r="B12" s="5">
        <v>777</v>
      </c>
      <c r="C12" s="5">
        <v>967.88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ht="14.4" x14ac:dyDescent="0.3">
      <c r="A13" s="2" t="s">
        <v>29</v>
      </c>
      <c r="B13" s="5">
        <v>1575.5</v>
      </c>
      <c r="C13" s="5">
        <v>1575.5</v>
      </c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5" ht="14.4" x14ac:dyDescent="0.3">
      <c r="A14" s="2" t="s">
        <v>30</v>
      </c>
      <c r="B14" s="5">
        <v>2126</v>
      </c>
      <c r="C14" s="5">
        <v>2256</v>
      </c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5" ht="14.4" x14ac:dyDescent="0.3">
      <c r="A15" s="2" t="s">
        <v>31</v>
      </c>
      <c r="B15" s="5">
        <v>17561.3</v>
      </c>
      <c r="C15" s="5">
        <v>11751.4</v>
      </c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5" ht="14.4" x14ac:dyDescent="0.3">
      <c r="A16" s="2" t="s">
        <v>32</v>
      </c>
      <c r="B16" s="5">
        <v>1517.54</v>
      </c>
      <c r="C16" s="5">
        <v>1484.15</v>
      </c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5" ht="14.4" x14ac:dyDescent="0.3">
      <c r="A17" s="2" t="s">
        <v>147</v>
      </c>
      <c r="B17" s="5">
        <v>14634.27</v>
      </c>
      <c r="C17" s="5">
        <v>14737.25</v>
      </c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5" ht="14.4" x14ac:dyDescent="0.3">
      <c r="A18" s="2" t="s">
        <v>139</v>
      </c>
      <c r="B18" s="5">
        <v>15563.9</v>
      </c>
      <c r="C18" s="5">
        <v>14845.1</v>
      </c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5" ht="14.4" x14ac:dyDescent="0.3">
      <c r="A19" s="2" t="s">
        <v>146</v>
      </c>
      <c r="B19" s="5">
        <v>499</v>
      </c>
      <c r="C19" s="5">
        <v>543.44000000000005</v>
      </c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5" ht="14.4" x14ac:dyDescent="0.3">
      <c r="A20" s="2" t="s">
        <v>78</v>
      </c>
      <c r="B20" s="5">
        <v>353647.5</v>
      </c>
      <c r="C20" s="5">
        <v>197278.72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1:15" ht="15.75" customHeight="1" x14ac:dyDescent="0.3">
      <c r="A22" s="7" t="s">
        <v>38</v>
      </c>
      <c r="B22" s="10">
        <f t="shared" ref="B22:M22" si="1">SUM(B8:B20)</f>
        <v>418373.85</v>
      </c>
      <c r="C22" s="10">
        <f t="shared" si="1"/>
        <v>257391.8</v>
      </c>
      <c r="D22" s="10">
        <f t="shared" si="1"/>
        <v>0</v>
      </c>
      <c r="E22" s="10">
        <f t="shared" si="1"/>
        <v>0</v>
      </c>
      <c r="F22" s="10">
        <f t="shared" si="1"/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/>
      <c r="O22" s="9">
        <f>SUM(B22:M22)</f>
        <v>675765.64999999991</v>
      </c>
    </row>
    <row r="23" spans="1:15" ht="15.75" customHeight="1" x14ac:dyDescent="0.3">
      <c r="A23" s="7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5" ht="15.75" customHeight="1" x14ac:dyDescent="0.3">
      <c r="A24" s="7" t="s">
        <v>100</v>
      </c>
      <c r="B24" s="10">
        <f t="shared" ref="B24:M24" si="2">SUM(B5-B22)</f>
        <v>282247.06000000006</v>
      </c>
      <c r="C24" s="10">
        <f t="shared" si="2"/>
        <v>253440.24</v>
      </c>
      <c r="D24" s="10">
        <f t="shared" si="2"/>
        <v>0</v>
      </c>
      <c r="E24" s="10">
        <f t="shared" si="2"/>
        <v>0</v>
      </c>
      <c r="F24" s="10">
        <f t="shared" si="2"/>
        <v>0</v>
      </c>
      <c r="G24" s="10">
        <f t="shared" si="2"/>
        <v>0</v>
      </c>
      <c r="H24" s="10">
        <f t="shared" si="2"/>
        <v>0</v>
      </c>
      <c r="I24" s="10">
        <f t="shared" si="2"/>
        <v>0</v>
      </c>
      <c r="J24" s="10">
        <f t="shared" si="2"/>
        <v>0</v>
      </c>
      <c r="K24" s="10">
        <f t="shared" si="2"/>
        <v>0</v>
      </c>
      <c r="L24" s="10">
        <f t="shared" si="2"/>
        <v>0</v>
      </c>
      <c r="M24" s="10">
        <f t="shared" si="2"/>
        <v>0</v>
      </c>
      <c r="N24" s="10"/>
      <c r="O24" s="10">
        <f>SUM(B24:M24)</f>
        <v>535687.30000000005</v>
      </c>
    </row>
    <row r="25" spans="1:15" ht="15.75" customHeight="1" x14ac:dyDescent="0.3">
      <c r="A25" s="7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5" ht="15.75" customHeight="1" x14ac:dyDescent="0.3">
      <c r="A26" s="19" t="s">
        <v>80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5" ht="15.75" customHeight="1" x14ac:dyDescent="0.3">
      <c r="A27" s="2" t="s">
        <v>43</v>
      </c>
      <c r="B27" s="5">
        <v>2753.14</v>
      </c>
      <c r="C27" s="5">
        <v>2448.98</v>
      </c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5" ht="15.75" customHeight="1" x14ac:dyDescent="0.3">
      <c r="A28" s="2" t="s">
        <v>44</v>
      </c>
      <c r="B28" s="5">
        <v>8456.5499999999993</v>
      </c>
      <c r="C28" s="5">
        <v>8456.5499999999993</v>
      </c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5" ht="15.75" customHeight="1" x14ac:dyDescent="0.3">
      <c r="A29" s="2" t="s">
        <v>48</v>
      </c>
      <c r="B29" s="5">
        <v>1020.69</v>
      </c>
      <c r="C29" s="5">
        <v>1137.78</v>
      </c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5" ht="15.75" customHeight="1" x14ac:dyDescent="0.3">
      <c r="A30" s="2" t="s">
        <v>49</v>
      </c>
      <c r="B30" s="5">
        <v>527.46</v>
      </c>
      <c r="C30" s="5">
        <v>527.46</v>
      </c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5" ht="15.75" customHeight="1" x14ac:dyDescent="0.3">
      <c r="A31" s="2" t="s">
        <v>46</v>
      </c>
      <c r="B31" s="5">
        <v>5060.66</v>
      </c>
      <c r="C31" s="5">
        <v>5060.66</v>
      </c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5" ht="15.75" customHeight="1" x14ac:dyDescent="0.3">
      <c r="A32" s="2" t="s">
        <v>50</v>
      </c>
      <c r="B32" s="5">
        <v>2769.3</v>
      </c>
      <c r="C32" s="5">
        <v>2823.84</v>
      </c>
      <c r="D32" s="5">
        <v>2823.84</v>
      </c>
      <c r="E32" s="5"/>
      <c r="F32" s="5"/>
      <c r="G32" s="5"/>
      <c r="H32" s="5"/>
      <c r="I32" s="5"/>
      <c r="J32" s="5"/>
      <c r="K32" s="5"/>
      <c r="L32" s="5"/>
      <c r="M32" s="5"/>
    </row>
    <row r="33" spans="1:15" ht="15.75" customHeight="1" x14ac:dyDescent="0.3">
      <c r="A33" s="2" t="s">
        <v>90</v>
      </c>
      <c r="B33" s="5">
        <v>52692.24</v>
      </c>
      <c r="C33" s="5">
        <v>48148.959999999999</v>
      </c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5" ht="15.75" customHeight="1" x14ac:dyDescent="0.3">
      <c r="A34" s="2" t="s">
        <v>92</v>
      </c>
      <c r="B34" s="5">
        <v>13973.2</v>
      </c>
      <c r="C34" s="5">
        <v>13723</v>
      </c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5" ht="15.75" customHeight="1" x14ac:dyDescent="0.3">
      <c r="D35" s="5"/>
      <c r="H35" s="11"/>
    </row>
    <row r="36" spans="1:15" ht="15.75" customHeight="1" x14ac:dyDescent="0.3">
      <c r="A36" s="8" t="s">
        <v>56</v>
      </c>
      <c r="D36" s="5"/>
      <c r="H36" s="11"/>
    </row>
    <row r="37" spans="1:15" ht="15.75" customHeight="1" x14ac:dyDescent="0.3">
      <c r="A37" s="2" t="s">
        <v>58</v>
      </c>
      <c r="B37" s="5">
        <v>0</v>
      </c>
      <c r="C37" s="5">
        <v>0</v>
      </c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5" ht="15.75" customHeight="1" x14ac:dyDescent="0.3">
      <c r="A38" s="2" t="s">
        <v>101</v>
      </c>
      <c r="B38" s="5">
        <v>625</v>
      </c>
      <c r="C38" s="5">
        <v>625</v>
      </c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5" ht="15.75" customHeight="1" x14ac:dyDescent="0.3">
      <c r="A39" s="2" t="s">
        <v>59</v>
      </c>
      <c r="B39" s="5">
        <v>0</v>
      </c>
      <c r="C39" s="5">
        <v>0</v>
      </c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5" ht="15.75" customHeight="1" x14ac:dyDescent="0.3">
      <c r="A40" s="2" t="s">
        <v>138</v>
      </c>
      <c r="B40" s="5">
        <v>1025.49</v>
      </c>
      <c r="C40" s="5">
        <v>1041.18</v>
      </c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5" ht="15.75" customHeight="1" x14ac:dyDescent="0.3">
      <c r="A41" s="2" t="s">
        <v>61</v>
      </c>
      <c r="B41" s="5">
        <v>4895.1499999999996</v>
      </c>
      <c r="C41" s="5">
        <v>9831.6</v>
      </c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5" ht="15.75" customHeight="1" x14ac:dyDescent="0.3">
      <c r="A42" s="2" t="s">
        <v>102</v>
      </c>
      <c r="B42" s="5">
        <v>0</v>
      </c>
      <c r="C42" s="5">
        <v>7966</v>
      </c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5" ht="15.75" customHeight="1" x14ac:dyDescent="0.3">
      <c r="B43" s="5"/>
      <c r="C43" s="5"/>
      <c r="F43" s="5"/>
      <c r="G43" s="5"/>
      <c r="H43" s="5"/>
      <c r="I43" s="5"/>
      <c r="J43" s="5"/>
    </row>
    <row r="44" spans="1:15" ht="15.75" customHeight="1" x14ac:dyDescent="0.3">
      <c r="A44" s="7" t="s">
        <v>63</v>
      </c>
      <c r="B44" s="10">
        <f>SUM(B27:B42)</f>
        <v>93798.87999999999</v>
      </c>
      <c r="C44" s="10">
        <f>SUM(C27:C43)</f>
        <v>101791.01</v>
      </c>
      <c r="D44" s="10">
        <f t="shared" ref="D44:M44" si="3">SUM(D27:D42)</f>
        <v>2823.84</v>
      </c>
      <c r="E44" s="10">
        <f t="shared" si="3"/>
        <v>0</v>
      </c>
      <c r="F44" s="10">
        <f t="shared" si="3"/>
        <v>0</v>
      </c>
      <c r="G44" s="10">
        <f t="shared" si="3"/>
        <v>0</v>
      </c>
      <c r="H44" s="10">
        <f t="shared" si="3"/>
        <v>0</v>
      </c>
      <c r="I44" s="10">
        <f t="shared" si="3"/>
        <v>0</v>
      </c>
      <c r="J44" s="10">
        <f t="shared" si="3"/>
        <v>0</v>
      </c>
      <c r="K44" s="10">
        <f t="shared" si="3"/>
        <v>0</v>
      </c>
      <c r="L44" s="10">
        <f t="shared" si="3"/>
        <v>0</v>
      </c>
      <c r="M44" s="10">
        <f t="shared" si="3"/>
        <v>0</v>
      </c>
      <c r="N44" s="10"/>
      <c r="O44" s="9">
        <f>SUM(B44:M44)</f>
        <v>198413.72999999998</v>
      </c>
    </row>
    <row r="45" spans="1:15" ht="15.75" customHeight="1" x14ac:dyDescent="0.3">
      <c r="B45" s="5"/>
      <c r="F45" s="5"/>
      <c r="G45" s="5"/>
      <c r="H45" s="5"/>
      <c r="I45" s="5"/>
    </row>
    <row r="46" spans="1:15" ht="15.75" customHeight="1" x14ac:dyDescent="0.3">
      <c r="A46" s="7" t="s">
        <v>64</v>
      </c>
      <c r="B46" s="12">
        <f>SUM(B24-B44)</f>
        <v>188448.18000000005</v>
      </c>
      <c r="C46" s="12">
        <f>SUM(C24-C44)</f>
        <v>151649.22999999998</v>
      </c>
      <c r="D46" s="12">
        <f t="shared" ref="D46:M46" si="4">SUM(D24-D44)</f>
        <v>-2823.84</v>
      </c>
      <c r="E46" s="12">
        <f t="shared" si="4"/>
        <v>0</v>
      </c>
      <c r="F46" s="12">
        <f t="shared" si="4"/>
        <v>0</v>
      </c>
      <c r="G46" s="12">
        <f t="shared" si="4"/>
        <v>0</v>
      </c>
      <c r="H46" s="12">
        <f t="shared" si="4"/>
        <v>0</v>
      </c>
      <c r="I46" s="12">
        <f t="shared" si="4"/>
        <v>0</v>
      </c>
      <c r="J46" s="12">
        <f t="shared" si="4"/>
        <v>0</v>
      </c>
      <c r="K46" s="12">
        <f t="shared" si="4"/>
        <v>0</v>
      </c>
      <c r="L46" s="12">
        <f t="shared" si="4"/>
        <v>0</v>
      </c>
      <c r="M46" s="12">
        <f t="shared" si="4"/>
        <v>0</v>
      </c>
      <c r="N46" s="5"/>
      <c r="O46" s="9">
        <f>SUM(B46:M46)</f>
        <v>337273.57</v>
      </c>
    </row>
    <row r="47" spans="1:15" ht="15.75" customHeight="1" x14ac:dyDescent="0.3"/>
    <row r="48" spans="1:15" ht="15.75" customHeight="1" x14ac:dyDescent="0.3">
      <c r="A48" s="7" t="s">
        <v>65</v>
      </c>
    </row>
    <row r="49" spans="1:15" ht="15.75" customHeight="1" x14ac:dyDescent="0.3">
      <c r="A49" s="7"/>
    </row>
    <row r="50" spans="1:15" ht="15.75" customHeight="1" x14ac:dyDescent="0.3">
      <c r="A50" s="2" t="s">
        <v>66</v>
      </c>
      <c r="B50" s="5">
        <v>355.51</v>
      </c>
      <c r="C50" s="2">
        <v>360.95</v>
      </c>
      <c r="D50" s="2"/>
      <c r="E50" s="2"/>
      <c r="F50" s="2"/>
      <c r="G50" s="5"/>
      <c r="H50" s="5"/>
      <c r="I50" s="5"/>
      <c r="J50" s="5"/>
      <c r="K50" s="5"/>
      <c r="L50" s="5"/>
      <c r="M50" s="5"/>
      <c r="O50" s="5">
        <f>SUM(B50:N50)</f>
        <v>716.46</v>
      </c>
    </row>
    <row r="51" spans="1:15" ht="15.75" customHeight="1" x14ac:dyDescent="0.3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5" ht="15.75" customHeight="1" x14ac:dyDescent="0.3">
      <c r="A52" s="8" t="s">
        <v>70</v>
      </c>
      <c r="H52" s="11"/>
      <c r="I52" s="5"/>
    </row>
    <row r="53" spans="1:15" ht="15.75" customHeight="1" x14ac:dyDescent="0.3">
      <c r="A53" s="2" t="s">
        <v>71</v>
      </c>
      <c r="B53" s="5">
        <v>62665.61</v>
      </c>
      <c r="C53" s="2">
        <v>70496.13</v>
      </c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5" ht="15.75" customHeight="1" x14ac:dyDescent="0.3"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5" ht="14.4" hidden="1" x14ac:dyDescent="0.3">
      <c r="B55" s="5">
        <f t="shared" ref="B55:M55" si="5">SUM(B50:B53)</f>
        <v>63021.120000000003</v>
      </c>
      <c r="C55" s="5">
        <f t="shared" si="5"/>
        <v>70857.08</v>
      </c>
      <c r="D55" s="5">
        <f t="shared" si="5"/>
        <v>0</v>
      </c>
      <c r="E55" s="5">
        <f t="shared" si="5"/>
        <v>0</v>
      </c>
      <c r="F55" s="5">
        <f t="shared" si="5"/>
        <v>0</v>
      </c>
      <c r="G55" s="5">
        <f t="shared" si="5"/>
        <v>0</v>
      </c>
      <c r="H55" s="5">
        <f t="shared" si="5"/>
        <v>0</v>
      </c>
      <c r="I55" s="5">
        <f t="shared" si="5"/>
        <v>0</v>
      </c>
      <c r="J55" s="5">
        <f t="shared" si="5"/>
        <v>0</v>
      </c>
      <c r="K55" s="5">
        <f t="shared" si="5"/>
        <v>0</v>
      </c>
      <c r="L55" s="5">
        <f t="shared" si="5"/>
        <v>0</v>
      </c>
      <c r="M55" s="5">
        <f t="shared" si="5"/>
        <v>0</v>
      </c>
    </row>
    <row r="56" spans="1:15" ht="15.75" customHeight="1" x14ac:dyDescent="0.3">
      <c r="A56" s="7" t="s">
        <v>73</v>
      </c>
      <c r="B56" s="10">
        <f t="shared" ref="B56:M56" si="6">SUM(B46-B55)</f>
        <v>125427.06000000006</v>
      </c>
      <c r="C56" s="10">
        <f t="shared" si="6"/>
        <v>80792.14999999998</v>
      </c>
      <c r="D56" s="10">
        <f t="shared" si="6"/>
        <v>-2823.84</v>
      </c>
      <c r="E56" s="10">
        <f t="shared" si="6"/>
        <v>0</v>
      </c>
      <c r="F56" s="10">
        <f t="shared" si="6"/>
        <v>0</v>
      </c>
      <c r="G56" s="10">
        <f t="shared" si="6"/>
        <v>0</v>
      </c>
      <c r="H56" s="10">
        <f t="shared" si="6"/>
        <v>0</v>
      </c>
      <c r="I56" s="10">
        <f t="shared" si="6"/>
        <v>0</v>
      </c>
      <c r="J56" s="10">
        <f t="shared" si="6"/>
        <v>0</v>
      </c>
      <c r="K56" s="10">
        <f t="shared" si="6"/>
        <v>0</v>
      </c>
      <c r="L56" s="10">
        <f t="shared" si="6"/>
        <v>0</v>
      </c>
      <c r="M56" s="10">
        <f t="shared" si="6"/>
        <v>0</v>
      </c>
      <c r="N56" s="10"/>
      <c r="O56" s="9">
        <f>SUM(B56:M56)</f>
        <v>203395.37000000002</v>
      </c>
    </row>
    <row r="57" spans="1:15" ht="15.75" customHeight="1" x14ac:dyDescent="0.3">
      <c r="A57" s="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9"/>
    </row>
    <row r="58" spans="1:15" ht="15.75" customHeight="1" x14ac:dyDescent="0.3">
      <c r="A58" s="2" t="s">
        <v>137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10"/>
      <c r="M58" s="10"/>
      <c r="N58" s="10"/>
      <c r="O58" s="9"/>
    </row>
    <row r="59" spans="1:15" ht="13.5" customHeight="1" x14ac:dyDescent="0.3">
      <c r="A59" s="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5" ht="15.75" customHeight="1" x14ac:dyDescent="0.3">
      <c r="A60" s="2" t="s">
        <v>97</v>
      </c>
      <c r="B60" s="5">
        <v>9800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O60" s="5">
        <f>SUM(B60:K60)</f>
        <v>9800</v>
      </c>
    </row>
    <row r="61" spans="1:15" ht="15.75" customHeight="1" x14ac:dyDescent="0.3">
      <c r="A61" s="2" t="s">
        <v>98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O61" s="5">
        <v>0</v>
      </c>
    </row>
    <row r="62" spans="1:15" ht="15.75" customHeight="1" x14ac:dyDescent="0.3"/>
    <row r="63" spans="1:15" ht="15.75" customHeight="1" x14ac:dyDescent="0.3"/>
    <row r="64" spans="1:1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mergeCells count="1">
    <mergeCell ref="A1:M1"/>
  </mergeCells>
  <pageMargins left="0.7" right="0.7" top="0.75" bottom="0.75" header="0" footer="0"/>
  <pageSetup paperSize="9" scale="53" fitToWidth="0" orientation="landscape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003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41.44140625" customWidth="1"/>
    <col min="2" max="2" width="11.44140625" customWidth="1"/>
    <col min="3" max="4" width="10.33203125" customWidth="1"/>
    <col min="5" max="5" width="10.5546875" customWidth="1"/>
    <col min="6" max="6" width="10.33203125" customWidth="1"/>
    <col min="7" max="7" width="11" customWidth="1"/>
    <col min="8" max="8" width="10.33203125" customWidth="1"/>
    <col min="9" max="9" width="10.44140625" customWidth="1"/>
    <col min="10" max="10" width="11.33203125" customWidth="1"/>
    <col min="11" max="11" width="10.33203125" customWidth="1"/>
    <col min="12" max="12" width="10.88671875" customWidth="1"/>
    <col min="13" max="14" width="10.44140625" customWidth="1"/>
    <col min="15" max="15" width="11.33203125" customWidth="1"/>
  </cols>
  <sheetData>
    <row r="1" spans="1:15" ht="14.4" x14ac:dyDescent="0.3">
      <c r="A1" s="28" t="s">
        <v>144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1"/>
      <c r="O1" s="1" t="s">
        <v>0</v>
      </c>
    </row>
    <row r="2" spans="1:15" ht="14.4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</row>
    <row r="3" spans="1:15" ht="14.4" x14ac:dyDescent="0.3">
      <c r="A3" s="2" t="s">
        <v>103</v>
      </c>
      <c r="B3" s="4">
        <v>39522.050000000003</v>
      </c>
      <c r="C3" s="4">
        <v>36647.050000000003</v>
      </c>
      <c r="D3" s="4"/>
      <c r="E3" s="4"/>
      <c r="F3" s="4"/>
      <c r="G3" s="4"/>
      <c r="H3" s="4"/>
      <c r="I3" s="4"/>
      <c r="J3" s="4"/>
      <c r="K3" s="4"/>
      <c r="L3" s="4"/>
      <c r="M3" s="4"/>
      <c r="O3" s="5">
        <f>SUM(B3:M3)</f>
        <v>76169.100000000006</v>
      </c>
    </row>
    <row r="4" spans="1:15" ht="14.4" x14ac:dyDescent="0.3">
      <c r="B4" s="3"/>
      <c r="C4" s="6"/>
      <c r="D4" s="6"/>
      <c r="E4" s="6"/>
      <c r="F4" s="6"/>
      <c r="G4" s="6"/>
      <c r="H4" s="6"/>
      <c r="I4" s="6"/>
      <c r="J4" s="6"/>
    </row>
    <row r="5" spans="1:15" ht="14.4" x14ac:dyDescent="0.3">
      <c r="A5" s="7" t="s">
        <v>22</v>
      </c>
      <c r="B5" s="9">
        <f t="shared" ref="B5:M5" si="0">SUM(B3)</f>
        <v>39522.050000000003</v>
      </c>
      <c r="C5" s="9">
        <f t="shared" si="0"/>
        <v>36647.050000000003</v>
      </c>
      <c r="D5" s="9">
        <f t="shared" si="0"/>
        <v>0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9">
        <f t="shared" si="0"/>
        <v>0</v>
      </c>
      <c r="L5" s="9">
        <f t="shared" si="0"/>
        <v>0</v>
      </c>
      <c r="M5" s="9">
        <f t="shared" si="0"/>
        <v>0</v>
      </c>
      <c r="N5" s="9"/>
      <c r="O5" s="9">
        <f>SUM(B5:M5)</f>
        <v>76169.100000000006</v>
      </c>
    </row>
    <row r="7" spans="1:15" ht="14.4" x14ac:dyDescent="0.3">
      <c r="A7" s="8" t="s">
        <v>23</v>
      </c>
      <c r="G7" s="5"/>
      <c r="H7" s="5"/>
    </row>
    <row r="8" spans="1:15" ht="14.4" x14ac:dyDescent="0.3">
      <c r="A8" s="2" t="s">
        <v>78</v>
      </c>
      <c r="B8" s="5">
        <v>2519.2800000000002</v>
      </c>
      <c r="C8" s="5">
        <v>3471.01</v>
      </c>
      <c r="D8" s="5"/>
      <c r="E8" s="5"/>
      <c r="F8" s="5"/>
      <c r="G8" s="4"/>
      <c r="H8" s="5"/>
      <c r="I8" s="5"/>
      <c r="J8" s="5"/>
      <c r="K8" s="5"/>
      <c r="L8" s="5"/>
      <c r="M8" s="5"/>
    </row>
    <row r="9" spans="1:15" ht="14.4" x14ac:dyDescent="0.3">
      <c r="A9" s="2" t="s">
        <v>104</v>
      </c>
      <c r="B9" s="5">
        <v>3916.42</v>
      </c>
      <c r="C9" s="5">
        <v>5499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1:15" ht="14.4" x14ac:dyDescent="0.3">
      <c r="A10" s="2" t="s">
        <v>105</v>
      </c>
      <c r="B10" s="5">
        <v>1969.49</v>
      </c>
      <c r="C10" s="5">
        <v>3497.85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2" spans="1:15" ht="14.4" x14ac:dyDescent="0.3">
      <c r="A12" s="7" t="s">
        <v>38</v>
      </c>
      <c r="B12" s="10">
        <f t="shared" ref="B12:M12" si="1">SUM(B8:B10)</f>
        <v>8405.19</v>
      </c>
      <c r="C12" s="10">
        <f t="shared" si="1"/>
        <v>12467.86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0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/>
      <c r="O12" s="9">
        <f>SUM(B12:M12)</f>
        <v>20873.050000000003</v>
      </c>
    </row>
    <row r="13" spans="1:15" ht="15.75" customHeight="1" x14ac:dyDescent="0.3">
      <c r="A13" s="7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5" ht="15.75" customHeight="1" x14ac:dyDescent="0.3">
      <c r="A14" s="7" t="s">
        <v>100</v>
      </c>
      <c r="B14" s="10">
        <f t="shared" ref="B14:M14" si="2">SUM(B5-B12)</f>
        <v>31116.86</v>
      </c>
      <c r="C14" s="10">
        <f t="shared" si="2"/>
        <v>24179.190000000002</v>
      </c>
      <c r="D14" s="10">
        <f t="shared" si="2"/>
        <v>0</v>
      </c>
      <c r="E14" s="10">
        <f t="shared" si="2"/>
        <v>0</v>
      </c>
      <c r="F14" s="10">
        <f t="shared" si="2"/>
        <v>0</v>
      </c>
      <c r="G14" s="10">
        <f t="shared" si="2"/>
        <v>0</v>
      </c>
      <c r="H14" s="10">
        <f t="shared" si="2"/>
        <v>0</v>
      </c>
      <c r="I14" s="10">
        <f t="shared" si="2"/>
        <v>0</v>
      </c>
      <c r="J14" s="10">
        <f t="shared" si="2"/>
        <v>0</v>
      </c>
      <c r="K14" s="10">
        <f t="shared" si="2"/>
        <v>0</v>
      </c>
      <c r="L14" s="10">
        <f t="shared" si="2"/>
        <v>0</v>
      </c>
      <c r="M14" s="10">
        <f t="shared" si="2"/>
        <v>0</v>
      </c>
      <c r="N14" s="10"/>
      <c r="O14" s="10">
        <f>SUM(B14:M14)</f>
        <v>55296.05</v>
      </c>
    </row>
    <row r="15" spans="1:15" ht="15.75" customHeight="1" x14ac:dyDescent="0.3">
      <c r="A15" s="7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5" ht="15.75" customHeight="1" x14ac:dyDescent="0.3">
      <c r="A16" s="19" t="s">
        <v>80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5" ht="15.75" customHeight="1" x14ac:dyDescent="0.3">
      <c r="A17" s="2" t="s">
        <v>88</v>
      </c>
      <c r="B17" s="5">
        <v>77.09</v>
      </c>
      <c r="C17" s="5">
        <v>80.47</v>
      </c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5" ht="15.75" customHeight="1" x14ac:dyDescent="0.3">
      <c r="A18" s="2" t="s">
        <v>89</v>
      </c>
      <c r="B18" s="5">
        <v>1734.17</v>
      </c>
      <c r="C18" s="5">
        <v>1708.16</v>
      </c>
      <c r="D18" s="5">
        <v>2179.15</v>
      </c>
      <c r="E18" s="5"/>
      <c r="F18" s="5"/>
      <c r="G18" s="5"/>
      <c r="H18" s="5"/>
      <c r="I18" s="5"/>
      <c r="J18" s="5"/>
      <c r="K18" s="5"/>
      <c r="L18" s="5"/>
      <c r="M18" s="5"/>
    </row>
    <row r="19" spans="1:15" ht="15.75" customHeight="1" x14ac:dyDescent="0.3">
      <c r="A19" s="2" t="s">
        <v>136</v>
      </c>
      <c r="B19" s="5">
        <v>351.64</v>
      </c>
      <c r="C19" s="5">
        <v>351.64</v>
      </c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5" ht="15.75" customHeight="1" x14ac:dyDescent="0.3">
      <c r="A20" s="2" t="s">
        <v>106</v>
      </c>
      <c r="B20" s="5">
        <v>4799.26</v>
      </c>
      <c r="C20" s="5">
        <v>8000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5" ht="15.75" customHeight="1" x14ac:dyDescent="0.3">
      <c r="D21" s="5"/>
      <c r="H21" s="11"/>
    </row>
    <row r="22" spans="1:15" ht="15.75" customHeight="1" x14ac:dyDescent="0.3">
      <c r="A22" s="8" t="s">
        <v>56</v>
      </c>
      <c r="D22" s="5"/>
      <c r="H22" s="11"/>
    </row>
    <row r="23" spans="1:15" ht="15.75" customHeight="1" x14ac:dyDescent="0.3">
      <c r="A23" s="2" t="s">
        <v>101</v>
      </c>
      <c r="B23" s="5">
        <v>250</v>
      </c>
      <c r="C23" s="5">
        <v>250</v>
      </c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5" ht="15.75" customHeight="1" x14ac:dyDescent="0.3">
      <c r="A24" s="2" t="s">
        <v>149</v>
      </c>
      <c r="B24" s="5">
        <v>0</v>
      </c>
      <c r="C24" s="5">
        <v>5090.8500000000004</v>
      </c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5" ht="15.75" customHeight="1" x14ac:dyDescent="0.3">
      <c r="A25" s="2" t="s">
        <v>134</v>
      </c>
      <c r="B25" s="5">
        <v>683.66</v>
      </c>
      <c r="C25" s="5">
        <v>694.12</v>
      </c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5" ht="15.75" customHeight="1" x14ac:dyDescent="0.3">
      <c r="B26" s="5"/>
      <c r="C26" s="5"/>
      <c r="F26" s="5"/>
      <c r="G26" s="5"/>
      <c r="H26" s="5"/>
      <c r="I26" s="5"/>
      <c r="J26" s="5"/>
    </row>
    <row r="27" spans="1:15" ht="15.75" customHeight="1" x14ac:dyDescent="0.3">
      <c r="A27" s="7" t="s">
        <v>63</v>
      </c>
      <c r="B27" s="10">
        <f>SUM(B17:B25)</f>
        <v>7895.82</v>
      </c>
      <c r="C27" s="10">
        <f t="shared" ref="C27:M27" si="3">SUM(C17:C25)</f>
        <v>16175.240000000002</v>
      </c>
      <c r="D27" s="10">
        <f t="shared" si="3"/>
        <v>2179.15</v>
      </c>
      <c r="E27" s="10">
        <f t="shared" si="3"/>
        <v>0</v>
      </c>
      <c r="F27" s="10">
        <f t="shared" si="3"/>
        <v>0</v>
      </c>
      <c r="G27" s="10">
        <f t="shared" si="3"/>
        <v>0</v>
      </c>
      <c r="H27" s="10">
        <f t="shared" si="3"/>
        <v>0</v>
      </c>
      <c r="I27" s="10">
        <f t="shared" si="3"/>
        <v>0</v>
      </c>
      <c r="J27" s="10">
        <f t="shared" si="3"/>
        <v>0</v>
      </c>
      <c r="K27" s="10">
        <f t="shared" si="3"/>
        <v>0</v>
      </c>
      <c r="L27" s="10">
        <f t="shared" si="3"/>
        <v>0</v>
      </c>
      <c r="M27" s="10">
        <f t="shared" si="3"/>
        <v>0</v>
      </c>
      <c r="N27" s="10"/>
      <c r="O27" s="9">
        <f>SUM(B27:M27)</f>
        <v>26250.210000000003</v>
      </c>
    </row>
    <row r="28" spans="1:15" ht="15.75" customHeight="1" x14ac:dyDescent="0.3">
      <c r="B28" s="5"/>
      <c r="F28" s="5"/>
      <c r="G28" s="5"/>
      <c r="H28" s="5"/>
      <c r="I28" s="5"/>
    </row>
    <row r="29" spans="1:15" ht="15.75" customHeight="1" x14ac:dyDescent="0.3">
      <c r="A29" s="7" t="s">
        <v>64</v>
      </c>
      <c r="B29" s="12">
        <f>SUM(B14-B27)</f>
        <v>23221.040000000001</v>
      </c>
      <c r="C29" s="12">
        <f t="shared" ref="C29:M29" si="4">SUM(C14-C27)</f>
        <v>8003.9500000000007</v>
      </c>
      <c r="D29" s="12">
        <f t="shared" si="4"/>
        <v>-2179.15</v>
      </c>
      <c r="E29" s="12">
        <f t="shared" si="4"/>
        <v>0</v>
      </c>
      <c r="F29" s="12">
        <f t="shared" si="4"/>
        <v>0</v>
      </c>
      <c r="G29" s="12">
        <f t="shared" si="4"/>
        <v>0</v>
      </c>
      <c r="H29" s="12">
        <f t="shared" si="4"/>
        <v>0</v>
      </c>
      <c r="I29" s="12">
        <f t="shared" si="4"/>
        <v>0</v>
      </c>
      <c r="J29" s="12">
        <f t="shared" si="4"/>
        <v>0</v>
      </c>
      <c r="K29" s="12">
        <f t="shared" si="4"/>
        <v>0</v>
      </c>
      <c r="L29" s="12">
        <f t="shared" si="4"/>
        <v>0</v>
      </c>
      <c r="M29" s="12">
        <f t="shared" si="4"/>
        <v>0</v>
      </c>
      <c r="N29" s="5"/>
      <c r="O29" s="9">
        <f>SUM(B29:M29)</f>
        <v>29045.84</v>
      </c>
    </row>
    <row r="30" spans="1:15" ht="15.75" customHeight="1" x14ac:dyDescent="0.3"/>
    <row r="31" spans="1:15" ht="15.75" customHeight="1" x14ac:dyDescent="0.3">
      <c r="A31" s="16" t="s">
        <v>68</v>
      </c>
      <c r="B31" s="15"/>
      <c r="C31" s="15"/>
      <c r="D31" s="15"/>
      <c r="E31" s="15"/>
      <c r="F31" s="15"/>
      <c r="G31" s="15"/>
      <c r="H31" s="5"/>
      <c r="I31" s="5"/>
      <c r="J31" s="5"/>
      <c r="K31" s="5"/>
      <c r="L31" s="5"/>
      <c r="M31" s="5"/>
    </row>
    <row r="32" spans="1:15" ht="15.75" customHeight="1" x14ac:dyDescent="0.3">
      <c r="A32" s="1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5" ht="15.75" customHeight="1" x14ac:dyDescent="0.3">
      <c r="A33" s="14" t="s">
        <v>69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5" ht="15.75" customHeight="1" x14ac:dyDescent="0.3"/>
    <row r="35" spans="1:15" ht="15.75" customHeight="1" x14ac:dyDescent="0.3">
      <c r="A35" s="2" t="s">
        <v>97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O35" s="5">
        <f>SUM(B35:K35)</f>
        <v>0</v>
      </c>
    </row>
    <row r="36" spans="1:15" ht="15.75" customHeight="1" x14ac:dyDescent="0.3">
      <c r="A36" s="2" t="s">
        <v>98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O36" s="5">
        <v>0</v>
      </c>
    </row>
    <row r="37" spans="1:15" ht="15.75" customHeight="1" x14ac:dyDescent="0.3"/>
    <row r="38" spans="1:15" ht="15.75" customHeight="1" x14ac:dyDescent="0.3"/>
    <row r="39" spans="1:15" ht="15.75" customHeight="1" x14ac:dyDescent="0.3"/>
    <row r="40" spans="1:15" ht="15.75" customHeight="1" x14ac:dyDescent="0.3"/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1">
    <mergeCell ref="A1:M1"/>
  </mergeCells>
  <pageMargins left="0.7" right="0.7" top="0.75" bottom="0.75" header="0" footer="0"/>
  <pageSetup paperSize="9" scale="69" fitToHeight="0" orientation="landscape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000"/>
  <sheetViews>
    <sheetView workbookViewId="0">
      <selection activeCell="H20" sqref="H20"/>
    </sheetView>
  </sheetViews>
  <sheetFormatPr defaultColWidth="14.44140625" defaultRowHeight="15" customHeight="1" x14ac:dyDescent="0.3"/>
  <cols>
    <col min="1" max="1" width="39.88671875" customWidth="1"/>
    <col min="2" max="2" width="11.44140625" customWidth="1"/>
    <col min="3" max="4" width="10.33203125" customWidth="1"/>
    <col min="5" max="5" width="10.5546875" customWidth="1"/>
    <col min="6" max="6" width="10.33203125" customWidth="1"/>
    <col min="7" max="7" width="11" customWidth="1"/>
    <col min="8" max="8" width="10.33203125" customWidth="1"/>
    <col min="9" max="9" width="10.44140625" customWidth="1"/>
    <col min="10" max="10" width="11.33203125" customWidth="1"/>
    <col min="11" max="11" width="10.33203125" customWidth="1"/>
    <col min="12" max="12" width="10.88671875" customWidth="1"/>
    <col min="13" max="14" width="10.44140625" customWidth="1"/>
    <col min="15" max="15" width="11.33203125" customWidth="1"/>
  </cols>
  <sheetData>
    <row r="1" spans="1:15" ht="14.4" x14ac:dyDescent="0.3">
      <c r="A1" s="28" t="s">
        <v>145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1"/>
      <c r="O1" s="1" t="s">
        <v>0</v>
      </c>
    </row>
    <row r="2" spans="1:15" ht="14.4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</row>
    <row r="3" spans="1:15" ht="14.4" x14ac:dyDescent="0.3">
      <c r="A3" s="2" t="s">
        <v>16</v>
      </c>
      <c r="B3" s="4">
        <v>273.74</v>
      </c>
      <c r="C3" s="4">
        <v>369.93</v>
      </c>
      <c r="D3" s="4"/>
      <c r="E3" s="4"/>
      <c r="F3" s="4"/>
      <c r="G3" s="3"/>
      <c r="H3" s="3"/>
      <c r="I3" s="4"/>
      <c r="J3" s="4"/>
      <c r="K3" s="4"/>
      <c r="L3" s="4"/>
      <c r="M3" s="3"/>
      <c r="O3" s="5">
        <f t="shared" ref="O3:O4" si="0">SUM(B3:M3)</f>
        <v>643.67000000000007</v>
      </c>
    </row>
    <row r="4" spans="1:15" ht="14.4" x14ac:dyDescent="0.3">
      <c r="A4" s="2" t="s">
        <v>17</v>
      </c>
      <c r="B4" s="4">
        <v>8685.94</v>
      </c>
      <c r="C4" s="4">
        <v>6698.37</v>
      </c>
      <c r="D4" s="4"/>
      <c r="E4" s="4"/>
      <c r="F4" s="4"/>
      <c r="G4" s="4"/>
      <c r="H4" s="4"/>
      <c r="I4" s="4"/>
      <c r="J4" s="4"/>
      <c r="K4" s="4"/>
      <c r="L4" s="4"/>
      <c r="M4" s="4"/>
      <c r="O4" s="5">
        <f t="shared" si="0"/>
        <v>15384.310000000001</v>
      </c>
    </row>
    <row r="5" spans="1:15" ht="14.4" x14ac:dyDescent="0.3">
      <c r="C5" s="6"/>
      <c r="D5" s="6"/>
      <c r="E5" s="6"/>
      <c r="F5" s="6"/>
      <c r="G5" s="6"/>
      <c r="H5" s="6"/>
      <c r="I5" s="6"/>
      <c r="J5" s="6"/>
      <c r="K5" s="6"/>
      <c r="L5" s="6"/>
    </row>
    <row r="6" spans="1:15" ht="14.4" x14ac:dyDescent="0.3">
      <c r="A6" s="7" t="s">
        <v>18</v>
      </c>
      <c r="B6" s="10">
        <f t="shared" ref="B6:L6" si="1">SUM(B3:B4)</f>
        <v>8959.68</v>
      </c>
      <c r="C6" s="10">
        <f t="shared" si="1"/>
        <v>7068.3</v>
      </c>
      <c r="D6" s="10">
        <f t="shared" si="1"/>
        <v>0</v>
      </c>
      <c r="E6" s="10">
        <f t="shared" si="1"/>
        <v>0</v>
      </c>
      <c r="F6" s="10">
        <f t="shared" si="1"/>
        <v>0</v>
      </c>
      <c r="G6" s="10">
        <f t="shared" si="1"/>
        <v>0</v>
      </c>
      <c r="H6" s="10">
        <f t="shared" si="1"/>
        <v>0</v>
      </c>
      <c r="I6" s="10">
        <f t="shared" si="1"/>
        <v>0</v>
      </c>
      <c r="J6" s="10">
        <f t="shared" si="1"/>
        <v>0</v>
      </c>
      <c r="K6" s="10">
        <f t="shared" si="1"/>
        <v>0</v>
      </c>
      <c r="L6" s="10">
        <f t="shared" si="1"/>
        <v>0</v>
      </c>
      <c r="M6" s="10">
        <v>0</v>
      </c>
      <c r="N6" s="5"/>
      <c r="O6" s="5">
        <f>SUM(B6:M6)</f>
        <v>16027.98</v>
      </c>
    </row>
    <row r="7" spans="1:15" ht="14.4" x14ac:dyDescent="0.3">
      <c r="A7" s="7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5" ht="14.4" x14ac:dyDescent="0.3">
      <c r="A8" s="8" t="s">
        <v>23</v>
      </c>
      <c r="G8" s="5"/>
      <c r="H8" s="5"/>
    </row>
    <row r="9" spans="1:15" ht="14.4" x14ac:dyDescent="0.3">
      <c r="A9" s="2" t="s">
        <v>35</v>
      </c>
      <c r="B9" s="5">
        <v>7685.94</v>
      </c>
      <c r="C9" s="5">
        <v>4465.58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1:15" ht="14.4" x14ac:dyDescent="0.3">
      <c r="A10" s="2" t="s">
        <v>36</v>
      </c>
      <c r="B10" s="5">
        <v>188.06</v>
      </c>
      <c r="C10" s="5">
        <v>264.24</v>
      </c>
      <c r="D10" s="5"/>
      <c r="E10" s="5">
        <v>222.76</v>
      </c>
      <c r="F10" s="5"/>
      <c r="G10" s="5"/>
      <c r="H10" s="5"/>
      <c r="I10" s="5"/>
      <c r="J10" s="5"/>
      <c r="K10" s="5"/>
      <c r="L10" s="5"/>
      <c r="M10" s="5"/>
    </row>
    <row r="12" spans="1:15" ht="14.4" x14ac:dyDescent="0.3">
      <c r="A12" s="7" t="s">
        <v>38</v>
      </c>
      <c r="B12" s="10">
        <f t="shared" ref="B12:L12" si="2">SUM(B9:B10)</f>
        <v>7874</v>
      </c>
      <c r="C12" s="10">
        <f t="shared" si="2"/>
        <v>4729.82</v>
      </c>
      <c r="D12" s="10">
        <f t="shared" si="2"/>
        <v>0</v>
      </c>
      <c r="E12" s="10">
        <f t="shared" si="2"/>
        <v>222.76</v>
      </c>
      <c r="F12" s="10">
        <f t="shared" si="2"/>
        <v>0</v>
      </c>
      <c r="G12" s="10">
        <f t="shared" si="2"/>
        <v>0</v>
      </c>
      <c r="H12" s="10">
        <f t="shared" si="2"/>
        <v>0</v>
      </c>
      <c r="I12" s="10">
        <f t="shared" si="2"/>
        <v>0</v>
      </c>
      <c r="J12" s="10">
        <f t="shared" si="2"/>
        <v>0</v>
      </c>
      <c r="K12" s="10">
        <f t="shared" si="2"/>
        <v>0</v>
      </c>
      <c r="L12" s="10">
        <f t="shared" si="2"/>
        <v>0</v>
      </c>
      <c r="M12" s="10">
        <v>0</v>
      </c>
      <c r="N12" s="10"/>
      <c r="O12" s="9">
        <f>SUM(B12:M12)</f>
        <v>12826.58</v>
      </c>
    </row>
    <row r="13" spans="1:15" ht="14.4" x14ac:dyDescent="0.3">
      <c r="A13" s="7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9"/>
    </row>
    <row r="14" spans="1:15" ht="14.4" x14ac:dyDescent="0.3">
      <c r="A14" s="2" t="s">
        <v>107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/>
      <c r="M14" s="10"/>
      <c r="N14" s="10"/>
      <c r="O14" s="9"/>
    </row>
    <row r="15" spans="1:15" ht="14.4" x14ac:dyDescent="0.3">
      <c r="A15" s="7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5" ht="14.4" x14ac:dyDescent="0.3">
      <c r="A16" s="7" t="s">
        <v>100</v>
      </c>
      <c r="B16" s="10">
        <f t="shared" ref="B16:L16" si="3">SUM(B6-B12)</f>
        <v>1085.6800000000003</v>
      </c>
      <c r="C16" s="10">
        <f t="shared" si="3"/>
        <v>2338.4800000000005</v>
      </c>
      <c r="D16" s="10">
        <f t="shared" si="3"/>
        <v>0</v>
      </c>
      <c r="E16" s="10">
        <f t="shared" si="3"/>
        <v>-222.76</v>
      </c>
      <c r="F16" s="10">
        <f t="shared" si="3"/>
        <v>0</v>
      </c>
      <c r="G16" s="10">
        <f t="shared" si="3"/>
        <v>0</v>
      </c>
      <c r="H16" s="10">
        <f t="shared" si="3"/>
        <v>0</v>
      </c>
      <c r="I16" s="10">
        <f t="shared" si="3"/>
        <v>0</v>
      </c>
      <c r="J16" s="10">
        <f t="shared" si="3"/>
        <v>0</v>
      </c>
      <c r="K16" s="10">
        <f t="shared" si="3"/>
        <v>0</v>
      </c>
      <c r="L16" s="10">
        <f t="shared" si="3"/>
        <v>0</v>
      </c>
      <c r="M16" s="10">
        <v>0</v>
      </c>
      <c r="N16" s="10"/>
      <c r="O16" s="10">
        <f>SUM(B16:M16)</f>
        <v>3201.4000000000005</v>
      </c>
    </row>
    <row r="17" spans="1:15" ht="14.4" x14ac:dyDescent="0.3">
      <c r="A17" s="7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M1"/>
  </mergeCells>
  <pageMargins left="0.7" right="0.7" top="0.75" bottom="0.75" header="0" footer="0"/>
  <pageSetup paperSize="9" scale="69" fitToHeight="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G23" sqref="G23"/>
    </sheetView>
  </sheetViews>
  <sheetFormatPr defaultColWidth="14.44140625" defaultRowHeight="15" customHeight="1" x14ac:dyDescent="0.3"/>
  <cols>
    <col min="1" max="1" width="19.109375" customWidth="1"/>
    <col min="2" max="2" width="9.5546875" customWidth="1"/>
    <col min="3" max="3" width="10" customWidth="1"/>
    <col min="4" max="4" width="12.88671875" customWidth="1"/>
    <col min="5" max="8" width="8.6640625" customWidth="1"/>
  </cols>
  <sheetData>
    <row r="1" spans="1:8" ht="14.4" x14ac:dyDescent="0.3">
      <c r="A1" s="2" t="s">
        <v>46</v>
      </c>
      <c r="F1" s="2" t="s">
        <v>109</v>
      </c>
      <c r="G1" s="2" t="s">
        <v>110</v>
      </c>
    </row>
    <row r="2" spans="1:8" ht="14.4" x14ac:dyDescent="0.3">
      <c r="A2" s="2" t="s">
        <v>111</v>
      </c>
      <c r="B2" s="5">
        <v>6500</v>
      </c>
      <c r="E2" s="2" t="s">
        <v>112</v>
      </c>
      <c r="G2" s="2">
        <v>6000</v>
      </c>
    </row>
    <row r="3" spans="1:8" ht="14.4" x14ac:dyDescent="0.3">
      <c r="A3" s="2" t="s">
        <v>113</v>
      </c>
      <c r="B3" s="5">
        <v>2895.46</v>
      </c>
      <c r="C3" s="5"/>
      <c r="E3" s="2" t="s">
        <v>113</v>
      </c>
      <c r="F3" s="2">
        <v>2856</v>
      </c>
    </row>
    <row r="4" spans="1:8" ht="14.4" x14ac:dyDescent="0.3">
      <c r="A4" s="2" t="s">
        <v>113</v>
      </c>
      <c r="B4" s="5">
        <v>5022.9799999999996</v>
      </c>
      <c r="C4" s="23"/>
      <c r="E4" s="2" t="s">
        <v>112</v>
      </c>
      <c r="F4" s="2">
        <v>2980</v>
      </c>
      <c r="G4" s="2">
        <v>2980</v>
      </c>
    </row>
    <row r="5" spans="1:8" ht="14.4" x14ac:dyDescent="0.3">
      <c r="A5" s="2" t="s">
        <v>114</v>
      </c>
      <c r="B5" s="5">
        <v>7415.27</v>
      </c>
      <c r="C5" s="5"/>
      <c r="E5" s="2" t="s">
        <v>115</v>
      </c>
      <c r="F5" s="11">
        <v>3474.02</v>
      </c>
    </row>
    <row r="6" spans="1:8" ht="14.4" x14ac:dyDescent="0.3">
      <c r="A6" s="2" t="s">
        <v>115</v>
      </c>
      <c r="B6" s="5">
        <v>3955.79</v>
      </c>
      <c r="C6" s="11"/>
      <c r="E6" s="2" t="s">
        <v>116</v>
      </c>
      <c r="F6" s="2">
        <v>2654.63</v>
      </c>
    </row>
    <row r="7" spans="1:8" ht="14.4" x14ac:dyDescent="0.3">
      <c r="A7" s="2" t="s">
        <v>116</v>
      </c>
      <c r="B7" s="5">
        <v>2795.82</v>
      </c>
      <c r="C7" s="5"/>
      <c r="E7" s="2" t="s">
        <v>117</v>
      </c>
      <c r="F7" s="2">
        <v>1311.14</v>
      </c>
      <c r="G7" s="2">
        <v>1311.14</v>
      </c>
      <c r="H7" s="2" t="s">
        <v>118</v>
      </c>
    </row>
    <row r="8" spans="1:8" ht="14.4" x14ac:dyDescent="0.3">
      <c r="A8" s="2" t="s">
        <v>117</v>
      </c>
      <c r="B8" s="5">
        <v>2622.28</v>
      </c>
      <c r="C8" s="23"/>
    </row>
    <row r="9" spans="1:8" ht="14.4" x14ac:dyDescent="0.3">
      <c r="A9" s="2" t="s">
        <v>119</v>
      </c>
      <c r="B9" s="5">
        <v>3177.75</v>
      </c>
      <c r="C9" s="23"/>
    </row>
    <row r="10" spans="1:8" ht="14.4" x14ac:dyDescent="0.3">
      <c r="F10" s="2">
        <f>SUM(F3:F7)</f>
        <v>13275.79</v>
      </c>
      <c r="G10" s="2">
        <f>SUM(G2:G7)</f>
        <v>10291.14</v>
      </c>
    </row>
    <row r="11" spans="1:8" ht="14.4" x14ac:dyDescent="0.3">
      <c r="B11" s="5">
        <f>SUM(B2:B9)</f>
        <v>34385.35</v>
      </c>
    </row>
    <row r="14" spans="1:8" ht="14.4" x14ac:dyDescent="0.3">
      <c r="A14" s="2" t="s">
        <v>120</v>
      </c>
      <c r="B14" s="2" t="s">
        <v>121</v>
      </c>
      <c r="C14" s="2">
        <v>720</v>
      </c>
    </row>
    <row r="15" spans="1:8" ht="14.4" x14ac:dyDescent="0.3">
      <c r="B15" s="2" t="s">
        <v>122</v>
      </c>
      <c r="C15" s="2">
        <v>506.5</v>
      </c>
    </row>
    <row r="17" spans="1:3" ht="14.4" x14ac:dyDescent="0.3">
      <c r="A17" s="2" t="s">
        <v>123</v>
      </c>
      <c r="B17" s="2" t="s">
        <v>124</v>
      </c>
      <c r="C17" s="2">
        <v>1185</v>
      </c>
    </row>
    <row r="18" spans="1:3" ht="14.4" x14ac:dyDescent="0.3">
      <c r="B18" s="2" t="s">
        <v>125</v>
      </c>
      <c r="C18" s="2"/>
    </row>
    <row r="20" spans="1:3" ht="15" customHeight="1" x14ac:dyDescent="0.3">
      <c r="A20" s="2" t="s">
        <v>126</v>
      </c>
      <c r="B20" s="2" t="s">
        <v>140</v>
      </c>
      <c r="C20" s="2">
        <v>749</v>
      </c>
    </row>
    <row r="21" spans="1:3" ht="15" customHeight="1" x14ac:dyDescent="0.3">
      <c r="A21" s="2"/>
      <c r="B21" s="2" t="s">
        <v>127</v>
      </c>
      <c r="C21" s="2">
        <v>539</v>
      </c>
    </row>
    <row r="22" spans="1:3" ht="15.75" customHeight="1" x14ac:dyDescent="0.3"/>
    <row r="23" spans="1:3" ht="15.75" customHeight="1" x14ac:dyDescent="0.3">
      <c r="A23" s="2" t="s">
        <v>128</v>
      </c>
      <c r="B23" s="2">
        <v>1500</v>
      </c>
      <c r="C23" s="2" t="s">
        <v>108</v>
      </c>
    </row>
    <row r="24" spans="1:3" ht="15.75" customHeight="1" x14ac:dyDescent="0.3"/>
    <row r="25" spans="1:3" ht="15.75" customHeight="1" x14ac:dyDescent="0.3">
      <c r="A25" s="2" t="s">
        <v>129</v>
      </c>
    </row>
    <row r="26" spans="1:3" ht="15.75" customHeight="1" x14ac:dyDescent="0.3">
      <c r="A26" s="2" t="s">
        <v>130</v>
      </c>
    </row>
    <row r="27" spans="1:3" ht="15.75" customHeight="1" x14ac:dyDescent="0.3">
      <c r="A27" s="2" t="s">
        <v>48</v>
      </c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selection activeCell="B9" activeCellId="1" sqref="B5 B9"/>
    </sheetView>
  </sheetViews>
  <sheetFormatPr defaultColWidth="14.44140625" defaultRowHeight="15" customHeight="1" x14ac:dyDescent="0.3"/>
  <cols>
    <col min="1" max="1" width="19.109375" customWidth="1"/>
    <col min="2" max="2" width="9.5546875" customWidth="1"/>
    <col min="3" max="3" width="10" customWidth="1"/>
    <col min="4" max="4" width="12.88671875" customWidth="1"/>
    <col min="5" max="6" width="8.6640625" customWidth="1"/>
  </cols>
  <sheetData>
    <row r="1" spans="1:6" ht="14.4" x14ac:dyDescent="0.3">
      <c r="A1" s="2" t="s">
        <v>46</v>
      </c>
    </row>
    <row r="2" spans="1:6" ht="14.4" x14ac:dyDescent="0.3">
      <c r="A2" s="2" t="s">
        <v>111</v>
      </c>
      <c r="B2" s="24">
        <v>6500</v>
      </c>
    </row>
    <row r="3" spans="1:6" ht="14.4" x14ac:dyDescent="0.3">
      <c r="A3" s="2" t="s">
        <v>113</v>
      </c>
      <c r="B3" s="24"/>
      <c r="C3" s="5">
        <v>2896.39</v>
      </c>
    </row>
    <row r="4" spans="1:6" ht="14.4" x14ac:dyDescent="0.3">
      <c r="A4" s="2" t="s">
        <v>113</v>
      </c>
      <c r="B4" s="25">
        <v>5060.66</v>
      </c>
      <c r="C4" s="23"/>
    </row>
    <row r="5" spans="1:6" ht="14.4" x14ac:dyDescent="0.3">
      <c r="A5" s="2" t="s">
        <v>114</v>
      </c>
      <c r="B5" s="26">
        <v>7473.07</v>
      </c>
      <c r="C5" s="5"/>
      <c r="F5" s="11"/>
    </row>
    <row r="6" spans="1:6" ht="14.4" x14ac:dyDescent="0.3">
      <c r="A6" s="2" t="s">
        <v>115</v>
      </c>
      <c r="B6" s="25">
        <v>3984.54</v>
      </c>
      <c r="C6" s="23"/>
      <c r="D6" s="5">
        <v>-930</v>
      </c>
      <c r="E6" s="2" t="s">
        <v>131</v>
      </c>
    </row>
    <row r="7" spans="1:6" ht="14.4" x14ac:dyDescent="0.3">
      <c r="A7" s="2" t="s">
        <v>116</v>
      </c>
      <c r="B7" s="24"/>
      <c r="C7" s="23"/>
      <c r="D7" s="5">
        <f>SUM(B7,C7)</f>
        <v>0</v>
      </c>
      <c r="E7" s="2">
        <v>2836.24</v>
      </c>
    </row>
    <row r="8" spans="1:6" ht="14.4" x14ac:dyDescent="0.3">
      <c r="A8" s="2" t="s">
        <v>117</v>
      </c>
      <c r="B8" s="25">
        <v>2622.28</v>
      </c>
      <c r="C8" s="5">
        <v>-2200</v>
      </c>
    </row>
    <row r="9" spans="1:6" ht="15" customHeight="1" x14ac:dyDescent="0.3">
      <c r="A9" s="2" t="s">
        <v>119</v>
      </c>
      <c r="B9" s="5">
        <v>3177.75</v>
      </c>
    </row>
    <row r="10" spans="1:6" ht="14.4" x14ac:dyDescent="0.3">
      <c r="B10" s="5">
        <f>SUM(B4:B9)</f>
        <v>22318.3</v>
      </c>
    </row>
    <row r="12" spans="1:6" ht="14.4" x14ac:dyDescent="0.3">
      <c r="A12" s="2" t="s">
        <v>132</v>
      </c>
      <c r="B12" s="5">
        <v>-4500</v>
      </c>
    </row>
    <row r="14" spans="1:6" ht="14.4" x14ac:dyDescent="0.3">
      <c r="B14" s="5">
        <f>SUM(B10:B12)</f>
        <v>17818.3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</vt:lpstr>
      <vt:lpstr>BZ</vt:lpstr>
      <vt:lpstr>Ztech</vt:lpstr>
      <vt:lpstr>AiDa</vt:lpstr>
      <vt:lpstr>Gxpress</vt:lpstr>
      <vt:lpstr>Sheet1</vt:lpstr>
      <vt:lpstr>Vehicle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Ronel</dc:creator>
  <cp:lastModifiedBy>Ronel Brits</cp:lastModifiedBy>
  <cp:lastPrinted>2026-03-10T09:57:57Z</cp:lastPrinted>
  <dcterms:created xsi:type="dcterms:W3CDTF">2017-09-13T07:51:44Z</dcterms:created>
  <dcterms:modified xsi:type="dcterms:W3CDTF">2026-04-10T07:03:42Z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0x010100D261833597AF1245B4EF6947981642A8</vt:lpwstr>
  </property>
</Properties>
</file>